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Generated scripts" sheetId="2" state="visible" r:id="rId4"/>
    <sheet name="Split by family" sheetId="3" state="visible" r:id="rId5"/>
    <sheet name="Real call sets" sheetId="4" state="visible" r:id="rId6"/>
    <sheet name="Gold sample cases" sheetId="5" state="visible" r:id="rId7"/>
  </sheets>
  <definedNames>
    <definedName function="false" hidden="true" localSheetId="1" name="_xlnm._FilterDatabase" vbProcedure="false">'Generated scripts'!$A$1:$M$201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<sst xmlns="http://schemas.openxmlformats.org/spreadsheetml/2006/main" count="2126" uniqueCount="749">
  <si>
    <t xml:space="preserve">What this workbook lists</t>
  </si>
  <si>
    <t xml:space="preserve">Three different collections are used in the EMS-Handoff evidence. They are often confused, so each has its own sheet.</t>
  </si>
  <si>
    <t xml:space="preserve">1. Gold sample cases (4): hand-written radio reports (quick, STEMI, trauma, sepsis) with a hand-made gold report each. Used by the test suite and the first scoring work on 2026-10-24/25. Sheet 'Gold sample cases'.</t>
  </si>
  <si>
    <t xml:space="preserve">2. Real call sets (22): recordings from a public county EMS feed, grouped into patient calls (51 bursts, 1,869 s). Three of them (CS001, CS008, CS014; 9 bursts, 612 words) have a human reference transcript and a gold report; the other 19 have neither. Sheet 'Real call sets'.</t>
  </si>
  <si>
    <t xml:space="preserve">3. Generated scripts (200): template-written radio reports with exact gold facts, read by one synthetic voice through the radio channel at five noise levels (1,000 clips). Split by script, stratified by call family: 140 train, 30 validation, 30 test. Every transcript row in the matrix is the 30 test scripts (150 clips); every report row is the 30 test scripts at clean and 5 dB (60 reports). The validation 30 were first scored on 2026-10-30. Sheet 'Generated scripts' (one row per script, with its text) and 'Split by family'.</t>
  </si>
  <si>
    <t xml:space="preserve">So: '4 golden traces' = the 4 sample cases; '22 calls' = the real call sets; '30' = the test split of the 200 generated scripts (and a second 30 held out for validation).</t>
  </si>
  <si>
    <t xml:space="preserve">Columns in 'Generated scripts': split = train / val / test; family = the call type the template came from; priority and ETA are the values the script states (blank = not stated); gold fields = facts the scorer checks for that script; of which 'not stated' = fields whose correct answer is null (abstain); text = the script the voice read, which is also the transcript reference.</t>
  </si>
  <si>
    <t xml:space="preserve">Source files: ~/datasets/synth_v1/{index.tsv, splits.json, gold/, scripts/}; ~/callsets/&lt;CS&gt;/callset_info.json; ~/labels/{reference,gold}; tests/gold; ems_handoff/samples.py. Scoring definitions: docs/reports/SCORING_DEFINITIONS.md.</t>
  </si>
  <si>
    <t xml:space="preserve">id</t>
  </si>
  <si>
    <t xml:space="preserve">split</t>
  </si>
  <si>
    <t xml:space="preserve">family</t>
  </si>
  <si>
    <t xml:space="preserve">alert_type</t>
  </si>
  <si>
    <t xml:space="preserve">priority (stated)</t>
  </si>
  <si>
    <t xml:space="preserve">ETA min (stated)</t>
  </si>
  <si>
    <t xml:space="preserve">words</t>
  </si>
  <si>
    <t xml:space="preserve">unit</t>
  </si>
  <si>
    <t xml:space="preserve">hospital</t>
  </si>
  <si>
    <t xml:space="preserve">alert words</t>
  </si>
  <si>
    <t xml:space="preserve">gold fields</t>
  </si>
  <si>
    <t xml:space="preserve">of which not stated</t>
  </si>
  <si>
    <t xml:space="preserve">text</t>
  </si>
  <si>
    <t xml:space="preserve">SY001</t>
  </si>
  <si>
    <t xml:space="preserve">train</t>
  </si>
  <si>
    <t xml:space="preserve">fragment</t>
  </si>
  <si>
    <t xml:space="preserve">UNCLEAR</t>
  </si>
  <si>
    <t xml:space="preserve">8</t>
  </si>
  <si>
    <t xml:space="preserve">Unit 40</t>
  </si>
  <si>
    <t xml:space="preserve">White Oak</t>
  </si>
  <si>
    <t xml:space="preserve">White Oak, Unit 40. Updated ETA 8 minutes.</t>
  </si>
  <si>
    <t xml:space="preserve">SY002</t>
  </si>
  <si>
    <t xml:space="preserve">endocrine</t>
  </si>
  <si>
    <t xml:space="preserve">ENDOCRINE</t>
  </si>
  <si>
    <t xml:space="preserve">2</t>
  </si>
  <si>
    <t xml:space="preserve">Medic 723</t>
  </si>
  <si>
    <t xml:space="preserve">Holy Cross</t>
  </si>
  <si>
    <t xml:space="preserve">hypoglycemia</t>
  </si>
  <si>
    <t xml:space="preserve">Medic 723 to Holy Cross with a patient report.
We're en route to your facility with a 23-year-old male, hypoglycemia, priority two. How do you copy so far?
Family found the patient combative, initial blood glucose 30.
Vitals: blood pressure 108/55, rate of 98, resp rate 31, SpO2 98%, and blood sugar 128.
We administered 15 grams oral glucose PO, repeat glucose is 128 and the patient is now alert and oriented.
History of type 2 diabetes and type 1 diabetes. Patient is on insulin.
Any questions for Medic 723?</t>
  </si>
  <si>
    <t xml:space="preserve">SY003</t>
  </si>
  <si>
    <t xml:space="preserve">chest_pain</t>
  </si>
  <si>
    <t xml:space="preserve">MEDICAL</t>
  </si>
  <si>
    <t xml:space="preserve">Ambulance 716</t>
  </si>
  <si>
    <t xml:space="preserve">Germantown</t>
  </si>
  <si>
    <t xml:space="preserve">chest pain</t>
  </si>
  <si>
    <t xml:space="preserve">Germantown, Ambulance 716.
Priority two, 36-year-old female, chest pain. How do you copy?
Patient woke up this morning with chest pain and upper back pain.
Current vitals are as follows: pressure 174/79, rate of 103, sinus tach, respirations 21, and SpO2 96% on 6 liters nasal cannula.
12-lead is unremarkable.
Patient is alert and oriented times four.
22-gauge IV in the left hand, saline lock.
We administered 324 mg aspirin chewed.
Medical history of CAD and anxiety. Medications include metformin, lisinopril, and Eliquis. NKDA. Family states patient is a full code.
Ambulance 716 clear.</t>
  </si>
  <si>
    <t xml:space="preserve">SY004</t>
  </si>
  <si>
    <t xml:space="preserve">stroke</t>
  </si>
  <si>
    <t xml:space="preserve">STROKE</t>
  </si>
  <si>
    <t xml:space="preserve">1</t>
  </si>
  <si>
    <t xml:space="preserve">10</t>
  </si>
  <si>
    <t xml:space="preserve">Unit 33</t>
  </si>
  <si>
    <t xml:space="preserve">Sibley</t>
  </si>
  <si>
    <t xml:space="preserve">stroke, CVA, facial droop</t>
  </si>
  <si>
    <t xml:space="preserve">Good morning, Sibley, this is Unit 33.
Inbound with a 57-year-old male, chief complaint stroke alert, priority one.
Last known well about 30 minutes ago.
Patient has right arm drift and right facial droop, speech is slurred.
Current vitals are as follows: BP 171/115, pulse 92, AFib, respirations 18, sat of 97% on 4 liters nasal cannula, and blood glucose 126.
Cincinnati is positive, two out of three.
Grips weaker on the right.
Requesting a stroke alert.
We'll be at your facility in about 10 minutes.
How do you copy?</t>
  </si>
  <si>
    <t xml:space="preserve">SY005</t>
  </si>
  <si>
    <t xml:space="preserve">val</t>
  </si>
  <si>
    <t xml:space="preserve">3</t>
  </si>
  <si>
    <t xml:space="preserve">15</t>
  </si>
  <si>
    <t xml:space="preserve">Ambulance 702</t>
  </si>
  <si>
    <t xml:space="preserve">Holy Cross, Ambulance 702.
Inbound with a 54-year-old male, chief complaint chest pain, priority three, approximately 15 minutes out.
Patient woke up this morning with chest pain and nausea.
Vitals on scene: pressure 178/82, rate of 134, respiratory rate 17, and satting at 95% on room air.
12-lead shows sinus tach with no ST elevation.
Lungs clear bilaterally.
We've established a 22-gauge IV left hand.
We administered 324 mg aspirin.
Notification only, no orders needed.
Ambulance 702 clear.</t>
  </si>
  <si>
    <t xml:space="preserve">SY006</t>
  </si>
  <si>
    <t xml:space="preserve">trauma</t>
  </si>
  <si>
    <t xml:space="preserve">TRAUMA</t>
  </si>
  <si>
    <t xml:space="preserve">Unit 31</t>
  </si>
  <si>
    <t xml:space="preserve">motorcycle</t>
  </si>
  <si>
    <t xml:space="preserve">Germantown online, this is Unit 31.
We have a 16-year-old female, motorcycle crash, helmeted, priority two.
Loss of consciousness unknown.
Vitals on scene: pressure 124/66, heart rate 101, resp rate 24 and labored, and satting at 93%.
GCS is 14, eyes 4, verbal 4, motor 6.
Injuries include a right ankle deformity.
Patient is c-spine immobilized on a backboard.
Breath sounds bilateral but diminished on the right.
Administered 4 mg ondansetron IV.
Medical history of diabetes and AFib. No known allergies. Patient is DNR DNI per paperwork.
Requesting trauma activation.
We'll be at your facility in about 8 minutes.
How do you copy?</t>
  </si>
  <si>
    <t xml:space="preserve">SY007</t>
  </si>
  <si>
    <t xml:space="preserve">Medic 41</t>
  </si>
  <si>
    <t xml:space="preserve">County General</t>
  </si>
  <si>
    <t xml:space="preserve">Medic 41 to County General with a patient report.
We're en route to your facility with a 79-year-old female, motorcycle crash, helmeted, priority two. How do you copy so far?
Vitals are pressure 102/58, heart rate 104, respiratory rate 29 and labored, and satting at 89% on 15 liters non-rebreather.
GCS is 14, eyes 4, verbal 4, motor 6.
Injuries include chest wall tenderness, a right ankle deformity, and left clavicle deformity.
Patient extricated by fire, c-collar applied.
Patient confused but following commands.
Two large bore IVs established, running wide open.
Administered 100 mcg fentanyl IV.
History of diabetes. No known allergies.
Requesting a trauma alert.
We'll be at your facility in about 8 minutes.</t>
  </si>
  <si>
    <t xml:space="preserve">SY008</t>
  </si>
  <si>
    <t xml:space="preserve">pediatric</t>
  </si>
  <si>
    <t xml:space="preserve">PEDIATRIC</t>
  </si>
  <si>
    <t xml:space="preserve">Squad 14</t>
  </si>
  <si>
    <t xml:space="preserve">Fairfax</t>
  </si>
  <si>
    <t xml:space="preserve">pediatric, seizure</t>
  </si>
  <si>
    <t xml:space="preserve">Fairfax, Squad 14.
We have a 7-year-old male, febrile seizure.
Generalized seizure lasting approximately 5 minutes, witnessed by parents, resolved on our arrival.
Patient is crying and consolable now.
Vitals on scene: blood pressure 101/58, heart rate 147, satting at 94% on room air, temperature 102.8, and CBG 94.
One prior febrile seizure.
We administered 2 mg midazolam intranasal.
No past medical history per family.
Squad 14 clear.</t>
  </si>
  <si>
    <t xml:space="preserve">SY009</t>
  </si>
  <si>
    <t xml:space="preserve">sepsis</t>
  </si>
  <si>
    <t xml:space="preserve">SEPSIS</t>
  </si>
  <si>
    <t xml:space="preserve">Medic 8</t>
  </si>
  <si>
    <t xml:space="preserve">sepsis, fever, altered mental status</t>
  </si>
  <si>
    <t xml:space="preserve">Fairfax, Medic 8 on the back line.
We have a 88-year-old female, altered mental status and fever, priority two, approximately 8 minutes out.
Patient is from home with hospice.
Patient became increasingly confused and febrile.
Vitals are blood pressure 92/50, heart rate 100, respiratory rate 22, SpO2 91% on 15 liters non-rebreather, and temp of 102.4.
Skin is hot, dry and mottled at the knees.
Suspected respiratory source, coarse rhonchi in the bilateral bases, productive cough.
Lactate is 3.2.
IV established, 22-gauge left forearm.
1000 mL of normal saline in so far.
Medical history of CHF and hypertension. No known allergies. Family states patient is a full code.
If you have no further questions, we'll see you shortly.</t>
  </si>
  <si>
    <t xml:space="preserve">SY010</t>
  </si>
  <si>
    <t xml:space="preserve">Unit 37</t>
  </si>
  <si>
    <t xml:space="preserve">Sibley, Unit 37 on the back line.
We have a 76-year-old female, possible sepsis, priority two.
Per nursing staff, patient was at baseline until this morning.
Patient became increasingly confused and febrile.
Vitals are blood pressure 90/50, heart rate 124, respirations 26, sat of 92% on 6 liters nasal cannula, temp of 104.0, and blood sugar 215.
Skin is warm and flushed.
No obvious source.
Lactate is 4.1.
18-gauge IV in the right hand, saline lock.
1000 mL of normal saline in so far.
No past medical history per family. No known drug allergies.
We're about 3 minutes out.
If you have no further questions, we'll see you shortly.</t>
  </si>
  <si>
    <t xml:space="preserve">SY011</t>
  </si>
  <si>
    <t xml:space="preserve">Ambulance 707</t>
  </si>
  <si>
    <t xml:space="preserve">Shady Grove</t>
  </si>
  <si>
    <t xml:space="preserve">Good morning, Shady Grove, this is Ambulance 707.
We have a 77-year-old female, chest pain, priority two.
Patient woke up this morning with chest pain and shortness of breath.
Vitals: pressure 129/100, rate of 69, normal sinus with PVCs, respirations 20, and satting at 94%.
12-lead is unremarkable.
Currently complaining of 4 out of 10 chest pain.
20-gauge IV in the left AC, saline lock.
We administered 324 mg aspirin chewed and 400 mcg nitro sublingual.
Past medical history includes hyperlipidemia and hypertension. Allergies to morphine and latex.
Ambulance 707 clear.</t>
  </si>
  <si>
    <t xml:space="preserve">SY012</t>
  </si>
  <si>
    <t xml:space="preserve">arrest</t>
  </si>
  <si>
    <t xml:space="preserve">CARDIAC_ARREST</t>
  </si>
  <si>
    <t xml:space="preserve">5</t>
  </si>
  <si>
    <t xml:space="preserve">Ambulance 711</t>
  </si>
  <si>
    <t xml:space="preserve">Washington Adventist</t>
  </si>
  <si>
    <t xml:space="preserve">cardiac arrest, CPR, ROSC</t>
  </si>
  <si>
    <t xml:space="preserve">Washington Adventist, Ambulance 711.
We're en route to your facility with a 43-year-old male, CPR in progress, priority one, approximately 5 minutes out.
Witnessed arrest in a parking lot, CPR started by family.
Initial rhythm asystole.
CPR continues en route.
Patient is intubated, tube confirmed with waveform capnography.
CPR has been ongoing for 25 minutes.
We have one round of epi.
18-gauge IV left AC.
Patient has a history of hypertension, CAD, and ESRD on dialysis. No known drug allergies.
Any questions for Ambulance 711?</t>
  </si>
  <si>
    <t xml:space="preserve">SY013</t>
  </si>
  <si>
    <t xml:space="preserve">test</t>
  </si>
  <si>
    <t xml:space="preserve">7</t>
  </si>
  <si>
    <t xml:space="preserve">Medic 33</t>
  </si>
  <si>
    <t xml:space="preserve">Germantown, Medic 33.
Priority two, 51-year-old female, chest pain. How do you copy?
Patient woke up this morning with chest pain and palpitations.
Vitals: blood pressure 119/71, heart rate 72, respirations 19, and satting at 96% on room air.
12-lead shows sinus tach with no ST elevation.
Patient is alert and oriented times four.
We've established a 22-gauge IV left hand.
We administered 324 mg aspirin and 400 mcg nitro sublingual.
No past medical history per family. No known drug allergies.
Notification only, no orders needed.
We'll be at your facility in about 7 minutes.</t>
  </si>
  <si>
    <t xml:space="preserve">SY014</t>
  </si>
  <si>
    <t xml:space="preserve">Paramedic 746</t>
  </si>
  <si>
    <t xml:space="preserve">Riverside</t>
  </si>
  <si>
    <t xml:space="preserve">Good morning, Riverside, this is Paramedic 746.
Priority one, 62-year-old female, stroke symptoms. How do you copy?
Last known well about 60 minutes ago.
Patient has right arm drift and right facial droop, speech is slurred.
Current vitals are as follows: pressure 152/99, rate of 60, oxygen saturation 94% on room air, and blood sugar 151.
LAMS is 5.
Pupils equal and reactive.
Medical history of CAD and AFib.
Requesting a stroke alert.
We're about 8 minutes out.
Paramedic 746 clear.</t>
  </si>
  <si>
    <t xml:space="preserve">SY015</t>
  </si>
  <si>
    <t xml:space="preserve">Unit 36</t>
  </si>
  <si>
    <t xml:space="preserve">County General, Unit 36 on the back line.
Priority one, 86-year-old male, fever and hypotension. How do you copy?
Family reports patient has been more confused for two days.
Patient became increasingly confused and febrile.
Vitals: BP 102/66, pulse 133, oxygen saturation 92% on 2 liters nasal cannula, and temperature 101.8.
Skin is warm and flushed.
Suspected skin source, a stage 4 sacral decubitus with foul drainage.
Medical history of COPD, chronic kidney disease, and hypertension. Allergic to penicillin.
Requesting a sepsis alert.
Our ETA to your facility is approximately 5 minutes.
How do you copy?</t>
  </si>
  <si>
    <t xml:space="preserve">SY016</t>
  </si>
  <si>
    <t xml:space="preserve">stemi</t>
  </si>
  <si>
    <t xml:space="preserve">STEMI</t>
  </si>
  <si>
    <t xml:space="preserve">Unit 29</t>
  </si>
  <si>
    <t xml:space="preserve">STEMI, ST elevation, chest pain</t>
  </si>
  <si>
    <t xml:space="preserve">Washington Adventist, Unit 29 on the back line.
We're en route to your facility with a 61-year-old female, chest pain, priority one, approximately 10 minutes out.
Pain started about an hour ago, left-sided, radiating to the left arm.
Vitals: blood pressure 169/78, heart rate 63, normal sinus, respiratory rate 24, and SpO2 96% on 6 liters nasal cannula.
Patient is alert and oriented, diaphoretic.
12-lead shows ST elevation in leads II, III and aVF, consistent with inferior STEMI.
Pain is 8 out of 10.
We've established a 20-gauge IV left forearm.
Administered 324 mg aspirin PO and 25 mcg fentanyl IV.
Past medical history includes hypertension. NKDA.
Requesting a STEMI alert and cath lab activation.
Any questions for Unit 29?</t>
  </si>
  <si>
    <t xml:space="preserve">SY017</t>
  </si>
  <si>
    <t xml:space="preserve">Unit 25</t>
  </si>
  <si>
    <t xml:space="preserve">Suburban</t>
  </si>
  <si>
    <t xml:space="preserve">Suburban, Unit 25.
We have a 59-year-old male, chest pain, priority two.
Patient was sitting on the couch around 8 PM when he began to feel substernal chest pain radiating to the jaw.
Vitals on scene: pressure 118/84, pulse 81, resp rate 16, and SpO2 97% on room air.
12-lead shows sinus tach with no ST elevation.
Currently complaining of 4 out of 10 chest pain.
22-gauge IV in the right AC, saline lock.
We administered 0.4 mg nitro sublingual.
No known drug allergies.
ETA 5 minutes.
If you have no further questions, we'll see you shortly.</t>
  </si>
  <si>
    <t xml:space="preserve">SY018</t>
  </si>
  <si>
    <t xml:space="preserve">Ambulance 727</t>
  </si>
  <si>
    <t xml:space="preserve">Good evening, Fairfax, this is Ambulance 727.
We have a 62-year-old female, chest pain, priority two.
Pain started about two hours ago, substernal, radiating to the left shoulder.
Vitals on scene: BP 112/66, pulse 106, sinus tach, respiratory rate 21, and satting at 93% on 4 liters nasal cannula.
Patient is alert and oriented, diaphoretic.
12-lead shows ST elevation in leads V1 through V4, consistent with anterior STEMI.
Pain is 7 out of 10.
IV established, 20-gauge left forearm.
Administered 324 mg aspirin chewed and 0.4 mg nitro sublingual times one.
Some relief with the nitro.
Medical history of prior MI. Allergies to contrast dye and sulfa.
Requesting a STEMI alert and cath lab activation.
Our ETA to your facility is approximately 7 minutes.
How do you copy?</t>
  </si>
  <si>
    <t xml:space="preserve">SY019</t>
  </si>
  <si>
    <t xml:space="preserve">12</t>
  </si>
  <si>
    <t xml:space="preserve">Ambulance 710</t>
  </si>
  <si>
    <t xml:space="preserve">pediatric, respiratory distress</t>
  </si>
  <si>
    <t xml:space="preserve">White Oak, Ambulance 710 on the back line.
We're en route to your facility with a 20-month-old male, respiratory distress and trouble breathing, priority one, approximately 12 minutes out.
Barky cough since this evening, retractions noted.
Vitals are pressure 97/68, pulse 127, and oxygen saturation 87% on 15 liters non-rebreather.
Patient is slightly altered but consolable.
No known drug allergies.
Ambulance 710 clear.</t>
  </si>
  <si>
    <t xml:space="preserve">SY020</t>
  </si>
  <si>
    <t xml:space="preserve">obstetric</t>
  </si>
  <si>
    <t xml:space="preserve">OBSTETRIC</t>
  </si>
  <si>
    <t xml:space="preserve">pregnant, labor, delivery</t>
  </si>
  <si>
    <t xml:space="preserve">Medic 8 to Sibley, how do you copy?
We're en route to your facility with a 20-year-old female, 36 weeks pregnant, possible pre-eclampsia, priority two. How do you copy so far?
Patient is 36 weeks along, prenatal care at Fairfax.
Severe headache, visual changes and swelling to the hands and face for two days.
Vitals: blood pressure 174/103, pulse 122, and sat of 96%.
Hyperreflexic, no seizure activity so far.
Administered 4 grams magnesium IV.
We've established a 20-gauge IV right forearm.
No past medical history per family.
Requesting labor and delivery be notified.
Our ETA to your facility is approximately 10 minutes.
Medic 8 clear.</t>
  </si>
  <si>
    <t xml:space="preserve">SY021</t>
  </si>
  <si>
    <t xml:space="preserve">6</t>
  </si>
  <si>
    <t xml:space="preserve">Paramedic 717</t>
  </si>
  <si>
    <t xml:space="preserve">Memorial</t>
  </si>
  <si>
    <t xml:space="preserve">Paramedic 717 to Memorial, how do you copy?
We have a 71-year-old female, stroke symptoms, priority one, approximately 6 minutes out.
Last known well last night at bedtime, found this way this morning.
Family noticed left-sided facial droop and slurred speech.
Vitals are blood pressure 206/115, heart rate 65, oxygen saturation 95%, and sugar is 118.
LAMS is 4.
Pupils equal and reactive.
Allergies to penicillin and morphine.
Requesting stroke team activation.
Any questions for Paramedic 717?</t>
  </si>
  <si>
    <t xml:space="preserve">SY022</t>
  </si>
  <si>
    <t xml:space="preserve">Medic 15</t>
  </si>
  <si>
    <t xml:space="preserve">assault</t>
  </si>
  <si>
    <t xml:space="preserve">White Oak, Medic 15.
We're en route to your facility with a 46-year-old male, assault with a blunt object to the head, priority three. How do you copy so far?
Loss of consciousness unknown.
Vitals are BP 98/67, rate of 127, respiratory rate 20 and shallow, and sat of 96% on room air.
GCS is 15.
Injuries include epistaxis, a laceration above the left eye, and a large hematoma to the left temple.
Patient is c-spine immobilized on a backboard.
Pupils equal and reactive.
We have two large bore IVs, fluids running wide open.
Administered 100 mcg fentanyl IV and 1 gram TXA IV.
Allergic to latex.
Requesting a trauma alert.
ETA 3 minutes.
Medic 15 clear.</t>
  </si>
  <si>
    <t xml:space="preserve">SY023</t>
  </si>
  <si>
    <t xml:space="preserve">Medic 28</t>
  </si>
  <si>
    <t xml:space="preserve">MVC</t>
  </si>
  <si>
    <t xml:space="preserve">Good afternoon, Riverside, this is Medic 28.
Priority one, 25-year-old female, MVC, unrestrained passenger, significant front end damage. How do you copy?
Positive loss of consciousness at scene per bystanders.
Vitals: BP 116/88, heart rate 81, respiratory rate 20 and labored, and SpO2 93% on 2 liters nasal cannula.
GCS is 8.
Injuries include deformity to the right forearm and left femur deformity.
Patient confused but following commands.
20-gauge IV in the left hand, saline lock.
Administered 50 mcg fentanyl IV.
No known allergies. Patient is DNR DNI per paperwork.
Our ETA to your facility is approximately 8 minutes.</t>
  </si>
  <si>
    <t xml:space="preserve">SY024</t>
  </si>
  <si>
    <t xml:space="preserve">Holy Cross, Unit 31 on the back line.
Inbound with a 76-year-old female, chief complaint stroke symptoms, priority two.
Last known well about 30 minutes ago.
Family noticed left-sided facial droop and slurred speech.
Vitals on scene: blood pressure 153/103, heart rate 58, respiratory rate 14, sat of 99% on room air, and blood glucose 90.
Cincinnati stroke scale positive for arm drift and speech.
No trauma noted.
We've established an 18-gauge IV right AC.
No medications given.
History of hypertension and CAD. Patient is on warfarin, metformin, and lisinopril. Family states patient is a full code.
Requesting stroke team activation.</t>
  </si>
  <si>
    <t xml:space="preserve">SY025</t>
  </si>
  <si>
    <t xml:space="preserve">20</t>
  </si>
  <si>
    <t xml:space="preserve">Paramedic 740</t>
  </si>
  <si>
    <t xml:space="preserve">DKA, hyperglycemia</t>
  </si>
  <si>
    <t xml:space="preserve">Sibley, Paramedic 740.
Inbound with a 29-year-old female, chief complaint possible DKA, priority two.
Patient ran out of insulin three days ago.
Patient is alert but lethargic, skin dry.
Vitals on scene: pressure 107/63, pulse 99, resp rate 23, satting at 96%, and sugar is 560.
Past medical history includes hypothyroidism and hypertension. Medications include insulin, Lantus, and metformin.
See you in approximately 20 minutes.
Paramedic 740 clear.</t>
  </si>
  <si>
    <t xml:space="preserve">SY026</t>
  </si>
  <si>
    <t xml:space="preserve">Ambulance 706</t>
  </si>
  <si>
    <t xml:space="preserve">Washington Adventist, Ambulance 706. Be advised we are 15 minutes out.</t>
  </si>
  <si>
    <t xml:space="preserve">SY027</t>
  </si>
  <si>
    <t xml:space="preserve">Paramedic 709</t>
  </si>
  <si>
    <t xml:space="preserve">Good morning, Sibley, this is Paramedic 709.
Priority one, 77-year-old male, altered mental status and fever., approximately 15 minutes out.
Family reports patient has been more confused for two days.
Patient became increasingly confused and febrile.
Vitals: BP 97/52, pulse 114, respiratory rate 25, oxygen saturation 95% on 2 liters nasal cannula, and temp of 100.9.
Patient oriented to name only.
Suspected urinary source, foley catheter in place, urine appears cloudy.
We've established an 18-gauge IV left AC.
1000 mL of normal saline in so far.
Patient has a history of CHF and chronic kidney disease. Home meds are furosemide. Allergic to codeine.
We're calling a sepsis alert.
How do you copy?</t>
  </si>
  <si>
    <t xml:space="preserve">SY028</t>
  </si>
  <si>
    <t xml:space="preserve">Medic 724</t>
  </si>
  <si>
    <t xml:space="preserve">Riverside, Medic 724.
Inbound with a 57-year-old male, chief complaint chest pain.
Patient was at home when the pain started approximately 45 minutes ago.
Vitals are pressure 170/60, heart rate 73, normal sinus with PVCs, and oxygen saturation 97% on 4 liters nasal cannula.
Skin is cool and diaphoretic.
12-lead shows ST elevation in leads V1 through V4, consistent with anterior STEMI.
IV established, 18-gauge right AC.
Administered 324 mg aspirin, 0.4 mg nitro sublingual times three, and 100 mcg fentanyl IV.
Some relief with the nitro.
History of hyperlipidemia, prior MI, and hypertension. Takes Plavix, atorvastatin, and metformin. No known drug allergies.
Requesting a STEMI alert and cath lab activation.
Our ETA to your facility is approximately 20 minutes.
Any questions for Medic 724?</t>
  </si>
  <si>
    <t xml:space="preserve">SY029</t>
  </si>
  <si>
    <t xml:space="preserve">4</t>
  </si>
  <si>
    <t xml:space="preserve">Germantown, Unit 36.
Priority two, 45-year-old female, hypoglycemia. How do you copy?
Family found the patient unresponsive, initial blood glucose 33.
Current vitals are as follows: blood pressure 140/85, pulse 123, respiratory rate 19, sat of 97% on room air, and CBG 121.
We administered 125 mL D10 IV, repeat glucose is 121 and the patient is now alert and oriented.
NKDA.
We're about 4 minutes out.
How do you copy?</t>
  </si>
  <si>
    <t xml:space="preserve">SY030</t>
  </si>
  <si>
    <t xml:space="preserve">fall</t>
  </si>
  <si>
    <t xml:space="preserve">Good morning, Memorial, this is Unit 31.
We have a 30-year-old male, fall from approximately 15 feet, priority two.
No medical history available.
Vitals are BP 119/89, pulse 98, resp rate 22, and oxygen saturation 98% on 2 liters nasal cannula.
GCS is 14.
Injuries include a laceration to the forehead and right hip pain with shortening and rotation.
Patient extricated by fire, c-collar applied.
Breath sounds bilateral but diminished on the right.
Administered 100 mcg fentanyl IV.
Requesting trauma activation.
We're about 5 minutes out.</t>
  </si>
  <si>
    <t xml:space="preserve">SY031</t>
  </si>
  <si>
    <t xml:space="preserve">Squad 4</t>
  </si>
  <si>
    <t xml:space="preserve">Washington Adventist, Squad 4.
We have a 69-year-old male, chest pain.
Pain started about two hours ago, left-sided, radiating to the left arm.
Vitals are pressure 126/99, heart rate 56 and irregular, respirations 23, and sat of 94% on 6 liters nasal cannula.
Patient is diaphoretic and pale.
12-lead shows ST elevation in leads II, III and aVF, consistent with inferior STEMI.
Pain is 5 out of 10.
Administered 324 mg aspirin chewed and 0.4 mg nitro sublingual times one.
Some relief with the nitro.
History of prior MI, type 2 diabetes, and hyperlipidemia. Medications include amlodipine and aspirin 81.
Requesting a STEMI alert and cath lab activation.
We'll be at your facility in about 3 minutes.
If you have no further questions, we'll see you shortly.</t>
  </si>
  <si>
    <t xml:space="preserve">SY032</t>
  </si>
  <si>
    <t xml:space="preserve">Sibley online, this is Paramedic 709.
Inbound with a 88-year-old female, chief complaint possible sepsis, priority one.
Family reports patient has been more confused for two days.
Patient became increasingly confused and febrile.
Vitals on scene: blood pressure 101/60, pulse 109, respirations 29, SpO2 94% on 15 liters non-rebreather, temp of 101.8, and blood sugar 303.
Patient oriented to name only.
Suspected skin source, a stage 4 sacral decubitus with foul drainage.
IV established, 22-gauge left forearm.
Running a 500 mL bolus.
Past medical history includes chronic kidney disease. Home meds are donepezil. Patient is full code.
Requesting a sepsis alert.
If you have no further questions, we'll see you shortly.</t>
  </si>
  <si>
    <t xml:space="preserve">SY033</t>
  </si>
  <si>
    <t xml:space="preserve">County General, Squad 4.
We have a 66-year-old male, MVC, unrestrained passenger, significant front end damage.
Positive loss of consciousness at scene per bystanders.
Current vitals are as follows: pressure 123/79, rate of 95, and oxygen saturation 90% on 15 liters non-rebreather.
Injuries include left femur deformity, a large scalp laceration with controlled bleeding, and deformity to the right forearm.
Patient is c-spine immobilized on a backboard.
Pupils equal and reactive.
No known allergies.
Requesting a trauma alert.
How do you copy?</t>
  </si>
  <si>
    <t xml:space="preserve">SY034</t>
  </si>
  <si>
    <t xml:space="preserve">Paramedic 749</t>
  </si>
  <si>
    <t xml:space="preserve">Paramedic 749 to Fairfax, how do you copy?
We have a 17-month-old male, respiratory distress, priority one.
Mom called because the patient was working harder to breathe with a lot of drool and a cough.
Current vitals are as follows: blood pressure 90/50, heart rate 124, and SpO2 87% on 15 liters non-rebreather.
Stridor at rest.
We administered 2.5 mg albuterol nebulized.
Patient has a history of prematurity.
We're about 4 minutes out.
If you have no further questions, we'll see you shortly.</t>
  </si>
  <si>
    <t xml:space="preserve">SY035</t>
  </si>
  <si>
    <t xml:space="preserve">Medic 17</t>
  </si>
  <si>
    <t xml:space="preserve">Memorial online, this is Medic 17.
Priority one, 7-year-old female, respiratory distress. How do you copy?
Audible wheezing, mom states a history of asthma.
Vitals on scene: pressure 92/50, pulse 135, respirations 37, and sat of 92% on blow-by oxygen.
Wheezes bilaterally.
We administered 2.5 mg albuterol nebulized, with some improvement.
Patient has a history of asthma and seizure disorder. Allergies to sulfa and shellfish.
See you in approximately 8 minutes.
Any questions for Medic 17?</t>
  </si>
  <si>
    <t xml:space="preserve">SY036</t>
  </si>
  <si>
    <t xml:space="preserve">Unit 21</t>
  </si>
  <si>
    <t xml:space="preserve">County General online, this is Unit 21.
We have a 59-year-old female, chest pain, priority one.
Pain started about an hour ago, substernal, radiating to the left arm.
Vitals are BP 163/74, pulse 54 and irregular, respirations 21, and satting at 91% on room air.
Skin is cool and diaphoretic.
12-lead shows ST elevation in leads V2 through V5, consistent with anterior STEMI.
Pain is 5 out of 10.
20-gauge IV in the left AC, saline lock.
Administered 324 mg aspirin and 0.4 mg nitro sublingual times one.
Pain down to 4 out of 10 after the nitro.
No medications.
Requesting cath lab activation.
ETA 6 minutes.
If you have no further questions, we'll see you shortly.</t>
  </si>
  <si>
    <t xml:space="preserve">SY037</t>
  </si>
  <si>
    <t xml:space="preserve">medical</t>
  </si>
  <si>
    <t xml:space="preserve">Unit 41</t>
  </si>
  <si>
    <t xml:space="preserve">Germantown, Unit 41 on the back line.
60-year-old male, generalized weakness. How do you copy?
Generalized weakness for three days, poor oral intake, unable to stand without help.
Vitals are pressure 128/82, rate of 83, respiratory rate 16, and SpO2 96% on room air.
No focal deficits, Cincinnati negative.
22-gauge IV in the right forearm, saline lock.
History of diabetes. Patient is a DNR.
We're about 10 minutes out.
If you have no further questions, we'll see you shortly.</t>
  </si>
  <si>
    <t xml:space="preserve">SY038</t>
  </si>
  <si>
    <t xml:space="preserve">Squad 8</t>
  </si>
  <si>
    <t xml:space="preserve">Sibley, Squad 8. Correction, the patient is 62, not 72. ETA 5 minutes.</t>
  </si>
  <si>
    <t xml:space="preserve">SY039</t>
  </si>
  <si>
    <t xml:space="preserve">Unit 17</t>
  </si>
  <si>
    <t xml:space="preserve">Sibley, Unit 17. STEMI, priority one, 49-year-old female, about 5 minutes out. How do you copy?</t>
  </si>
  <si>
    <t xml:space="preserve">SY040</t>
  </si>
  <si>
    <t xml:space="preserve">Squad 25</t>
  </si>
  <si>
    <t xml:space="preserve">Squad 25 to Suburban with a notification only.
Inbound with a 62-year-old male, chief complaint cardiac arrest with ROSC.
Unwitnessed arrest at a gym, bystander CPR in progress on our arrival.
Initial rhythm V-fib.
Vitals are BP 93/61, pulse 100, and satting at 88% with BVM ventilations.
GCS 3.
Patient remains unresponsive, GCS 3.
Patient is intubated, tube confirmed with waveform capnography.
Total down time approximately 25 minutes.
We have defibrillated times 4 and one round of epi.
18-gauge IV left AC.
We got ROSC about 3 minutes ago.
Please have the team ready.
We're about 4 minutes out.
How do you copy?</t>
  </si>
  <si>
    <t xml:space="preserve">SY041</t>
  </si>
  <si>
    <t xml:space="preserve">pedestrian</t>
  </si>
  <si>
    <t xml:space="preserve">Unit 36 to Fairfax, how do you copy?
We have a 81-year-old male, pedestrian struck by a vehicle at approximately 30 miles an hour, priority one.
No loss of consciousness.
Vitals: BP 114/51, pulse 112, respiratory rate 30 and shallow, and satting at 89% on 15 liters non-rebreather.
Injuries include a scalp laceration and an open left tib-fib fracture.
Abdomen soft, non-tender.
Administered 50 mcg fentanyl IV.
History of COPD.
Requesting trauma activation.
See you in approximately 5 minutes.
Unit 36 clear.</t>
  </si>
  <si>
    <t xml:space="preserve">SY042</t>
  </si>
  <si>
    <t xml:space="preserve">Unit 13</t>
  </si>
  <si>
    <t xml:space="preserve">GI bleed</t>
  </si>
  <si>
    <t xml:space="preserve">Riverside, Unit 13.
Priority three, 51-year-old male, vomiting blood. How do you copy?
Three episodes of dark tarry stools since yesterday, dizzy on standing.
Vitals are BP 100/61, pulse 112, and satting at 98%.
Patient is pale and diaphoretic, skin cool.
We've established a 22-gauge IV right hand.
500 mL bolus running.
We'll be at your facility in about 10 minutes.
If you have no further questions, we'll see you shortly.</t>
  </si>
  <si>
    <t xml:space="preserve">SY043</t>
  </si>
  <si>
    <t xml:space="preserve">Squad 20</t>
  </si>
  <si>
    <t xml:space="preserve">AFib, RVR</t>
  </si>
  <si>
    <t xml:space="preserve">Squad 20 to Riverside, how do you copy?
We're en route to your facility with a 29-year-old female, AFib with RVR, priority three. How do you copy so far?
Patient felt her heart racing while at work, no chest pain.
Vitals are blood pressure 138/69, heart rate 143, AFib with RVR, respirations 18, and satting at 99% on room air.
12-lead shows AFib with RVR, no ST changes.
We've established a 22-gauge IV left forearm.
Administered 15 mg diltiazem IV with the rate down to the 110s.
Patient has a history of AFib and CHF.
We'll be at your facility in about 5 minutes.
Squad 20 clear.</t>
  </si>
  <si>
    <t xml:space="preserve">SY044</t>
  </si>
  <si>
    <t xml:space="preserve">Ambulance 754</t>
  </si>
  <si>
    <t xml:space="preserve">White Oak, Ambulance 754. Correction, the patient is 80, not 90.</t>
  </si>
  <si>
    <t xml:space="preserve">SY045</t>
  </si>
  <si>
    <t xml:space="preserve">Paramedic 743</t>
  </si>
  <si>
    <t xml:space="preserve">Paramedic 743 to Germantown with a priority traffic.
Priority one, 73-year-old female, possible DKA. How do you copy?
Patient ran out of insulin three days ago.
Patient is alert but lethargic, skin dry.
Current vitals are as follows: pressure 104/58, rate of 115, respiratory rate 19, oxygen saturation 99% on room air, and CBG 612.
Patient has a history of type 1 diabetes, hypothyroidism, and type 2 diabetes. Home meds are metformin and levothyroxine. No known allergies.
Our ETA to your facility is approximately 12 minutes.</t>
  </si>
  <si>
    <t xml:space="preserve">SY046</t>
  </si>
  <si>
    <t xml:space="preserve">Squad 19</t>
  </si>
  <si>
    <t xml:space="preserve">pediatric, allergic reaction, anaphylaxis</t>
  </si>
  <si>
    <t xml:space="preserve">Washington Adventist, Squad 19 on the back line.
Inbound with a 10-year-old male, chief complaint allergic reaction, priority one, approximately 5 minutes out.
Hives and facial swelling after eating unknown food about 30 minutes ago.
Some wheezing on arrival, now improved.
Vitals: pressure 104/64, rate of 157, respirations 32, and SpO2 93% on room air.
Hives to the face and trunk.
We administered 0.15 mg epi IM and 12.5 mg Benadryl IV.</t>
  </si>
  <si>
    <t xml:space="preserve">SY047</t>
  </si>
  <si>
    <t xml:space="preserve">Paramedic 735</t>
  </si>
  <si>
    <t xml:space="preserve">Good afternoon, Holy Cross, this is Paramedic 735.
We're en route to your facility with a 48-year-old male, chest pain, priority one. How do you copy so far?
Pain started about an hour ago, substernal, radiating to the jaw.
Vitals are blood pressure 119/74, pulse 74 and irregular, respirations 18, and sat of 97% on 4 liters nasal cannula.
Patient is alert and oriented, diaphoretic.
12-lead shows ST elevation in leads V5, V6, I and aVL, consistent with lateral STEMI.
IV established, 18-gauge left hand.
Administered 324 mg aspirin and 0.4 mg nitro sublingual times one.
No relief with the nitro.
History of CHF. Patient is on Plavix, metoprolol, and aspirin 81.
12-lead has been transmitted to your facility; requesting cath lab.
Our ETA to your facility is approximately 7 minutes.</t>
  </si>
  <si>
    <t xml:space="preserve">SY048</t>
  </si>
  <si>
    <t xml:space="preserve">Ambulance 716 to Suburban, how do you copy?
Inbound with a 78-year-old female, chief complaint chest pain, approximately 8 minutes out.
Patient woke up this morning with chest pain and nausea.
Vitals are pressure 129/84, rate of 103, resp rate 20, and sat of 98%.
12-lead shows sinus tach with no ST elevation.
Patient is alert and oriented times four.
IV established, 22-gauge right hand.
History of diabetes and GERD.</t>
  </si>
  <si>
    <t xml:space="preserve">SY049</t>
  </si>
  <si>
    <t xml:space="preserve">psychiatric</t>
  </si>
  <si>
    <t xml:space="preserve">PSYCHIATRIC</t>
  </si>
  <si>
    <t xml:space="preserve">Medic 734</t>
  </si>
  <si>
    <t xml:space="preserve">psychiatric, suicidal</t>
  </si>
  <si>
    <t xml:space="preserve">Germantown, Medic 734.
We're en route to your facility with a 65-year-old female, suicidal ideation, priority two. How do you copy so far?
Patient called a crisis line stating a plan to overdose; denies having taken anything.
This is an emergency petition.
Current vitals are as follows: blood pressure 112/85, pulse 105, and satting at 100% on room air.
No signs of trauma, no medical complaints.
Past medical history includes depression, bipolar disorder, and schizophrenia. Allergies to amoxicillin and ibuprofen.
We'll be at your facility in about 5 minutes.
Any questions for Medic 734?</t>
  </si>
  <si>
    <t xml:space="preserve">SY050</t>
  </si>
  <si>
    <t xml:space="preserve">Medic 38</t>
  </si>
  <si>
    <t xml:space="preserve">White Oak online, this is Medic 38.
We're en route to your facility with a 69-year-old male, chest pain. How do you copy so far?
Pain started about half an hour ago, substernal, radiating to the left arm.
Vitals are pressure 101/72, pulse 77, normal sinus with PVCs, respirations 18, and sat of 93% on room air.
Patient is nauseous, no vomiting.
12-lead shows ST elevation in leads II, III and aVF, consistent with inferior STEMI.
Pain is 7 out of 10.
18-gauge IV in the left hand, saline lock.
Administered 0.4 mg nitro sublingual times three.
Some relief with the nitro.
Past medical history includes stents. No known allergies.
Requesting cath lab activation.
We're about 8 minutes out.
If you have no further questions, we'll see you shortly.</t>
  </si>
  <si>
    <t xml:space="preserve">SY051</t>
  </si>
  <si>
    <t xml:space="preserve">Medic 756</t>
  </si>
  <si>
    <t xml:space="preserve">Memorial, Medic 756.
Inbound with a 6-month-old male, chief complaint febrile seizure, priority two, approximately 8 minutes out.
Generalized seizure lasting approximately 3 minutes, witnessed by parents, resolved on our arrival.
Patient is postictal but improving.
Vitals are BP 95/64, pulse 147, respiratory rate 20, satting at 98% on blow-by oxygen, temp of 102.8, and sugar is 90.
One prior febrile seizure.
We administered 2.5 mg midazolam intranasal.
No past medical history per family.
Medic 756 clear.</t>
  </si>
  <si>
    <t xml:space="preserve">SY052</t>
  </si>
  <si>
    <t xml:space="preserve">Squad 17</t>
  </si>
  <si>
    <t xml:space="preserve">Shady Grove, Squad 17.
We have a 80-year-old male, chest pain, approximately 5 minutes out.
Patient reports a heaviness on the chest for the last two hours.
Vitals on scene: BP 152/92, heart rate 129, respirations 20, and SpO2 94% on 6 liters nasal cannula.
12-lead was unremarkable, no ST changes.
Currently complaining of 7 out of 10 chest pain.
We administered 400 mcg nitro sublingual.
History of AFib.
How do you copy?</t>
  </si>
  <si>
    <t xml:space="preserve">SY053</t>
  </si>
  <si>
    <t xml:space="preserve">Squad 5</t>
  </si>
  <si>
    <t xml:space="preserve">Fairfax, Squad 5.
We're en route to your facility with a 89-year-old female, fever and hypotension, priority two. How do you copy so far?
Patient is from home with hospice.
Patient was found lethargic and hypotensive on our arrival.
Vitals: blood pressure 82/57, pulse 129, respiratory rate 29, oxygen saturation 94% on 2 liters nasal cannula, and temp of 102.4.
GCS is 11.
Skin is warm and flushed.
Suspected respiratory source, coarse rhonchi in the bilateral bases, productive cough.
We've established a 22-gauge IV right AC.
1000 mL normal saline bolus initiated.
Patient has a history of hypertension and CHF. Patient is a DNR.
See you in approximately 5 minutes.
If you have no further questions, we'll see you shortly.</t>
  </si>
  <si>
    <t xml:space="preserve">SY054</t>
  </si>
  <si>
    <t xml:space="preserve">Unit 57</t>
  </si>
  <si>
    <t xml:space="preserve">Washington Adventist online, this is Unit 57.
Inbound with a 57-year-old male, chief complaint rectal bleeding, priority two.
Large amount of bright red blood per rectum, patient on blood thinners.
Vitals: blood pressure 105/55, heart rate 119, and satting at 96% on 4 liters nasal cannula.
Patient is pale and diaphoretic, skin cool.
We've established a 20-gauge IV right AC.
See you in approximately 7 minutes.
Any questions for Unit 57?</t>
  </si>
  <si>
    <t xml:space="preserve">SY055</t>
  </si>
  <si>
    <t xml:space="preserve">Paramedic 742</t>
  </si>
  <si>
    <t xml:space="preserve">Paramedic 742 to Suburban, how do you copy?
Inbound with a 72-year-old female, chief complaint pedestrian struck by a vehicle at approximately 30 miles an hour, priority two.
No loss of consciousness.
Patient is a visitor from out of state, no history available, allergy status unknown.
Vitals: blood pressure 108/66, heart rate 113, resp rate 27 and shallow, and oxygen saturation 89% on room air.
GCS is 9.
Injuries include abrasions to the back.
Patient is c-spine immobilized on a backboard.
Pelvis stable.
Two large bore IVs established, running wide open.
Administered 50 mcg fentanyl IV.
Requesting trauma activation.
Our ETA to your facility is approximately 8 minutes.
Paramedic 742 clear.</t>
  </si>
  <si>
    <t xml:space="preserve">SY056</t>
  </si>
  <si>
    <t xml:space="preserve">Ambulance 737</t>
  </si>
  <si>
    <t xml:space="preserve">Sibley, Ambulance 737.
Inbound with a 33-year-old female, chief complaint ground level fall on blood thinners, priority one.
No loss of consciousness.
No medical history available.
Vitals: blood pressure 84/50, rate of 134, respiratory rate 24, and SpO2 99%.
GCS of 8.
Injuries include pelvic instability and a laceration to the forehead.
C-collar in place, spinal motion restriction.
Pelvis stable.
Administered 1 gram TXA IV and 4 mg ondansetron IV.
Requesting trauma team activation.
Ambulance 737 clear.</t>
  </si>
  <si>
    <t xml:space="preserve">SY057</t>
  </si>
  <si>
    <t xml:space="preserve">Squad 12</t>
  </si>
  <si>
    <t xml:space="preserve">Holy Cross, Squad 12.
83-year-old female, stroke alert., approximately 8 minutes out.
Last known well about 45 minutes ago.
Sudden onset left-sided weakness and aphasia.
Vitals are BP 161/100, rate of 82, AFib, SpO2 99% on room air, and CBG 159.
LAMS is 5.
Pupils equal and reactive.
IV established, 20-gauge right AC.
Medical history of hyperlipidemia, hypertension, and prior stroke. Patient is on Xarelto. No known drug allergies.
Requesting stroke team activation.
Any questions for Squad 12?</t>
  </si>
  <si>
    <t xml:space="preserve">SY058</t>
  </si>
  <si>
    <t xml:space="preserve">Medic 708</t>
  </si>
  <si>
    <t xml:space="preserve">White Oak, Medic 708.
Priority three, 24-year-old female, 40 weeks pregnant, possible pre-eclampsia. How do you copy?
G4 P3, 40 weeks by her dates.
Severe headache, visual changes and swelling to the hands and face for two days.
Vitals are blood pressure 182/105, rate of 93, respirations 16, and SpO2 100% on room air.
Hyperreflexic, no seizure activity so far.
Administered 4 grams magnesium IV.
IV established, 18-gauge right hand.
No significant medical history.
Requesting labor and delivery be notified.
Our ETA to your facility is approximately 8 minutes.</t>
  </si>
  <si>
    <t xml:space="preserve">SY059</t>
  </si>
  <si>
    <t xml:space="preserve">Ambulance 731</t>
  </si>
  <si>
    <t xml:space="preserve">sepsis alert</t>
  </si>
  <si>
    <t xml:space="preserve">Holy Cross, Ambulance 731. Sepsis alert, 30-year-old female. How do you copy?</t>
  </si>
  <si>
    <t xml:space="preserve">SY060</t>
  </si>
  <si>
    <t xml:space="preserve">Unit 30</t>
  </si>
  <si>
    <t xml:space="preserve">shortness of breath, COPD</t>
  </si>
  <si>
    <t xml:space="preserve">Unit 30 to Suburban with a priority traffic.
We have a 52-year-old male, COPD exacerbation, priority three, approximately 4 minutes out.
Patient ran out of home oxygen; found tripoding, speaking two to three word sentences.
Vitals: blood pressure 145/65, pulse 123, and oxygen saturation 91% on CPAP.
Wheezes bilaterally, accessory muscle use.
We've given 2.5 mg albuterol and 0.5 mg ipratropium nebulized with some improvement.
Patient has a history of CHF. No medications. Allergies to shellfish and amoxicillin.</t>
  </si>
  <si>
    <t xml:space="preserve">SY061</t>
  </si>
  <si>
    <t xml:space="preserve">Good evening, Germantown, this is Unit 31.
We're en route to your facility with a 82-year-old female, motorcycle crash, helmeted, priority three. How do you copy so far?
Patient is a visitor from out of state, no history available, allergy status unknown.
Vitals are blood pressure 119/86, heart rate 94, and oxygen saturation 90% on room air.
GCS of 7.
Injuries include road rash to the left side, chest wall tenderness, and left clavicle deformity.
Abdomen soft, non-tender.
We have two large bore IVs, fluids running wide open.
Administered 1 gram TXA IV.
We're about 10 minutes out.
How do you copy?</t>
  </si>
  <si>
    <t xml:space="preserve">SY062</t>
  </si>
  <si>
    <t xml:space="preserve">Ambulance 702 to Memorial, how do you copy?
Inbound with a 42-year-old female, chief complaint acute psychosis, priority three.
Patient reports hearing voices for three days and has not slept.
No medical complaints.
Vitals: pressure 120/87, pulse 102, resp rate 23, and SpO2 100% on room air.
No signs of trauma, no medical complaints.
History of opioid use and depression. No medications. Allergies to penicillin and ibuprofen.
ETA 5 minutes.
Any questions for Ambulance 702?</t>
  </si>
  <si>
    <t xml:space="preserve">SY063</t>
  </si>
  <si>
    <t xml:space="preserve">Medic 725</t>
  </si>
  <si>
    <t xml:space="preserve">Germantown, Medic 725. Be advised the patient's blood pressure is now 149/56, heart rate 108. ETA 10 minutes.</t>
  </si>
  <si>
    <t xml:space="preserve">SY064</t>
  </si>
  <si>
    <t xml:space="preserve">Medic 737</t>
  </si>
  <si>
    <t xml:space="preserve">Washington Adventist, Medic 737. STEMI, 80-year-old female, about 10 minutes out. How do you copy?</t>
  </si>
  <si>
    <t xml:space="preserve">SY065</t>
  </si>
  <si>
    <t xml:space="preserve">Unit 20</t>
  </si>
  <si>
    <t xml:space="preserve">Unit 20 to County General with a priority traffic.
Inbound with a 40-year-old female, chief complaint AFib with RVR, priority two.
Patient felt her heart racing while at work, no chest pain.
Vitals on scene: blood pressure 125/69, rate of 153, AFib with RVR, respirations 18, and satting at 96% on room air.
12-lead shows AFib with RVR, no ST changes.
Past medical history includes hypertension and CHF. Patient is on Eliquis, diltiazem, and metoprolol. No known allergies. Family states patient is a full code.
See you in approximately 2 minutes.
If you have no further questions, we'll see you shortly.</t>
  </si>
  <si>
    <t xml:space="preserve">SY066</t>
  </si>
  <si>
    <t xml:space="preserve">Paramedic 723</t>
  </si>
  <si>
    <t xml:space="preserve">Paramedic 723 to White Oak, how do you copy?
Priority two, 54-year-old female, stroke symptoms. How do you copy?
Last known well 8:45 this morning.
Patient has right arm drift and right facial droop, speech is slurred.
Vitals on scene: blood pressure 151/90, pulse 59, sat of 94% on room air, and sugar is 157.
LAMS is 3.
Pupils equal and reactive.
No medications.
Requesting stroke team activation.
We're about 20 minutes out.
Any questions for Paramedic 723?</t>
  </si>
  <si>
    <t xml:space="preserve">SY067</t>
  </si>
  <si>
    <t xml:space="preserve">Medic 34</t>
  </si>
  <si>
    <t xml:space="preserve">County General, Medic 34. Be advised the patient's blood pressure is now 127/70, heart rate 119.</t>
  </si>
  <si>
    <t xml:space="preserve">SY068</t>
  </si>
  <si>
    <t xml:space="preserve">Medic 751</t>
  </si>
  <si>
    <t xml:space="preserve">hyperglycemia</t>
  </si>
  <si>
    <t xml:space="preserve">Riverside online, this is Medic 751.
We have a 82-year-old female, hyperglycemia, priority two, approximately 5 minutes out.
Patient's home meter read high; complaining of thirst and weakness for a week.
Patient alert and oriented, no vomiting.
Vitals: pressure 129/59, pulse 105, respiratory rate 26, sat of 98%, and blood glucose 448.
Past medical history includes hypertension, type 2 diabetes, and hyperlipidemia. Medications include atorvastatin and metformin.
Medic 751 clear.</t>
  </si>
  <si>
    <t xml:space="preserve">SY069</t>
  </si>
  <si>
    <t xml:space="preserve">Paramedic 757</t>
  </si>
  <si>
    <t xml:space="preserve">Sibley, Paramedic 757.
We have a 76-year-old female, chest pain, priority two.
Patient was sitting on the couch around 10 PM when she began to feel substernal chest pain radiating to the jaw.
Vitals are blood pressure 150/99, heart rate 154, sinus tach, resp rate 22, and SpO2 97% on 2 liters nasal cannula.
12-lead shows sinus tach with no ST elevation.
Patient is alert and oriented times four.
We've established a 20-gauge IV right forearm.
We administered 0.4 mg nitro sublingual.
We're about 15 minutes out.
If you have no further questions, we'll see you shortly.</t>
  </si>
  <si>
    <t xml:space="preserve">SY070</t>
  </si>
  <si>
    <t xml:space="preserve">Unit 11</t>
  </si>
  <si>
    <t xml:space="preserve">Unit 11 to Holy Cross with a notification only.
We're en route to your facility with a 60-year-old female, generalized weakness, priority two. How do you copy so far?
Generalized weakness for three days, poor oral intake, unable to stand without help.
Vitals on scene: blood pressure 124/65, pulse 86, resp rate 15, and satting at 98%.
No focal deficits, Cincinnati negative.
20-gauge IV in the left forearm, saline lock.
Past medical history includes CHF and CKD.
See you in approximately 7 minutes.
If you have no further questions, we'll see you shortly.</t>
  </si>
  <si>
    <t xml:space="preserve">SY071</t>
  </si>
  <si>
    <t xml:space="preserve">Fairfax, Squad 5. Be advised the patient's blood pressure is now 147/57, heart rate 92. ETA 5 minutes.</t>
  </si>
  <si>
    <t xml:space="preserve">SY072</t>
  </si>
  <si>
    <t xml:space="preserve">GSW</t>
  </si>
  <si>
    <t xml:space="preserve">Squad 8 to Riverside with a notification only.
We're en route to your facility with a 85-year-old male, GSW to the left thigh, approximately 4 minutes out.
Loss of consciousness unknown.
Vitals on scene: pressure 86/56, heart rate 122, resp rate 28 and shallow, and satting at 90% on 15 liters non-rebreather.
Injuries include a single wound to the left thigh with heavy bleeding, tourniquet applied and no exit wound found.
Patient extricated by fire, c-collar applied.
Abdomen soft, non-tender.
Two large bore IVs established, running wide open.
Medical history of hypertension, COPD, and alcohol use. Medications include lisinopril. No known drug allergies.
Requesting trauma activation.
Squad 8 clear.</t>
  </si>
  <si>
    <t xml:space="preserve">SY073</t>
  </si>
  <si>
    <t xml:space="preserve">Germantown, Unit 36. Be advised the patient's blood pressure is now 114/53, heart rate 88. ETA 20 minutes.</t>
  </si>
  <si>
    <t xml:space="preserve">SY074</t>
  </si>
  <si>
    <t xml:space="preserve">Good morning, Sibley, this is Paramedic 749.
We're en route to your facility with a 31-year-old female, 29 weeks pregnant, vaginal bleeding. How do you copy so far?
G1 P0, 29 weeks by her dates.
Painless bright red vaginal bleeding starting about 45 minutes ago, soaked two pads.
Vitals on scene: blood pressure 90/61, rate of 115, resp rate 21, and satting at 98% on room air.
Patient is pale and anxious, fetal movement reported present.
We've established an 18-gauge IV right forearm.
500 mL bolus running.
Patient has a history of gestational diabetes, hypertension, and asthma. No known allergies.
Requesting OB to meet us at the door.
ETA 6 minutes.
How do you copy?</t>
  </si>
  <si>
    <t xml:space="preserve">SY075</t>
  </si>
  <si>
    <t xml:space="preserve">Germantown, Squad 25.
We have a 87-year-old male, CPR in progress, priority one.
Unwitnessed arrest at home, CPR started by family.
Initial rhythm V-fib, now PEA.
CPR continues en route.
Patient is intubated, tube confirmed with waveform capnography.
Total down time approximately 20 minutes.
We have 2 rounds of epi.
Medical history of COPD. NKDA.
Please have the team ready.
See you in approximately 2 minutes.
Any questions for Squad 25?</t>
  </si>
  <si>
    <t xml:space="preserve">SY076</t>
  </si>
  <si>
    <t xml:space="preserve">Medic 14</t>
  </si>
  <si>
    <t xml:space="preserve">Montgomery General</t>
  </si>
  <si>
    <t xml:space="preserve">Medic 14 to Montgomery General with a patient report.
We have a 82-year-old male, pedestrian struck by a vehicle at approximately 30 miles an hour, priority two, approximately 4 minutes out.
Positive loss of consciousness at scene per bystanders.
Vitals: BP 98/52, pulse 133, respirations 23, and SpO2 95% on 15 liters non-rebreather.
GCS is 15, eyes 4, verbal 5, motor 6.
Injuries include bilateral lower leg deformities.
Abdomen soft, non-tender.
IV established, 22-gauge left hand.
Administered 50 mcg fentanyl IV and 4 mg ondansetron IV.
History of hypertension, diabetes, and alcohol use.
Requesting trauma team activation.
If you have no further questions, we'll see you shortly.</t>
  </si>
  <si>
    <t xml:space="preserve">SY077</t>
  </si>
  <si>
    <t xml:space="preserve">Medic 707</t>
  </si>
  <si>
    <t xml:space="preserve">Germantown, Medic 707 on the back line.
Inbound with a 74-year-old female, chief complaint possible stroke, priority one, approximately 4 minutes out.
Last known well about 30 minutes ago.
Family noticed left-sided facial droop and slurred speech.
Vitals: pressure 176/103, pulse 61, irregular, respirations 19, satting at 99%, and sugar is 132.
Cincinnati is positive, two out of three.
Pupils equal and reactive.
We've established a 22-gauge IV left hand.
Medical history of AFib and prior stroke. Takes warfarin.
Calling a stroke alert, requesting CT on arrival.
If you have no further questions, we'll see you shortly.</t>
  </si>
  <si>
    <t xml:space="preserve">SY078</t>
  </si>
  <si>
    <t xml:space="preserve">Medic 753</t>
  </si>
  <si>
    <t xml:space="preserve">Memorial, Medic 753 on the back line.
Inbound with a 94-year-old female, chief complaint possible sepsis, priority one.
Patient is from an assisted living facility.
Staff report decreased oral intake, lethargy and a temperature.
Vitals on scene: blood pressure 93/48, rate of 127, resp rate 28, satting at 94% on 4 liters nasal cannula, temp of 96.1, and blood glucose 231.
GCS of 13.
Patient oriented to name only.
Suspected respiratory source, coarse rhonchi in the bilateral bases, productive cough.
Lactate is 2.8.
22-gauge IV in the right hand, saline lock.
1000 mL of normal saline in so far.
History of chronic kidney disease and type 2 diabetes. Allergic to latex.
We're calling a sepsis alert.
We're about 5 minutes out.
If you have no further questions, we'll see you shortly.</t>
  </si>
  <si>
    <t xml:space="preserve">SY079</t>
  </si>
  <si>
    <t xml:space="preserve">Squad 21</t>
  </si>
  <si>
    <t xml:space="preserve">Suburban, Squad 21 on the back line.
Priority three, 49-year-old male, GI bleed., approximately 5 minutes out.
Vomited approximately a cup of bright red blood this morning.
Vitals are blood pressure 107/60, rate of 109, respiratory rate 14, and SpO2 97% on room air.
Patient is pale and diaphoretic, skin cool.
IV established, 22-gauge left AC.
Medical history of hypertension. Patient is on Xarelto, warfarin, and Eliquis. Patient is full code.
Any questions for Squad 21?</t>
  </si>
  <si>
    <t xml:space="preserve">SY080</t>
  </si>
  <si>
    <t xml:space="preserve">Sibley online, this is Medic 33.
Priority two, 50-year-old female, shortness of breath. How do you copy?
Increasing shortness of breath for two days, worse tonight, unable to speak full sentences.
Vitals: BP 135/76, heart rate 100, respirations 32, and oxygen saturation 84% on 4 liters nasal cannula.
Diminished breath sounds with expiratory wheezes throughout.
We've given 2.5 mg albuterol, 0.5 mg ipratropium nebulized, and 125 mg Solu-Medrol IV with some improvement.
Past medical history includes CHF. No known allergies.
Our ETA to your facility is approximately 12 minutes.
Any questions for Medic 33?</t>
  </si>
  <si>
    <t xml:space="preserve">SY081</t>
  </si>
  <si>
    <t xml:space="preserve">Good evening, Fairfax, this is Ambulance 737.
We have a 66-year-old female, hypoglycemia.
Family found the patient combative, initial blood glucose 46.
Vitals are BP 115/66, heart rate 120, respiratory rate 18, sat of 97%, and CBG 130.
We administered 1 mg glucagon IM, repeat glucose is 130 and the patient is now alert and oriented.
History of type 2 diabetes, CKD, and hypertension. Home meds are Lantus, metformin, and insulin. Allergies to latex and shellfish.</t>
  </si>
  <si>
    <t xml:space="preserve">SY082</t>
  </si>
  <si>
    <t xml:space="preserve">Medic 723 to White Oak, how do you copy?
We're en route to your facility with a 4-year-old female, trouble breathing, priority two. How do you copy so far?
Audible wheezing, mom states a history of asthma.
Vitals are blood pressure 110/57, pulse 159, respiratory rate 44, and sat of 95% on 15 liters non-rebreather.
Patient is slightly altered but consolable.
Medical history of asthma and seizure disorder. No known allergies.
Any questions for Medic 723?</t>
  </si>
  <si>
    <t xml:space="preserve">SY083</t>
  </si>
  <si>
    <t xml:space="preserve">Medic 734 to Shady Grove with a patient report.
Priority one, 32-year-old male, motorcycle crash, helmeted. How do you copy?
Positive loss of consciousness at scene per bystanders.
No medical history available.
Vitals on scene: BP 98/58, heart rate 113, resp rate 30 and labored, and sat of 90% on 15 liters non-rebreather.
GCS is 12.
Injuries include a right ankle deformity, left clavicle deformity, and road rash to the left side.
C-collar in place, spinal motion restriction.
Breath sounds bilateral but diminished on the right.
We have two large bore IVs, fluids running wide open.
Administered 100 mcg fentanyl IV.
Requesting trauma team activation.
We're about 7 minutes out.
How do you copy?</t>
  </si>
  <si>
    <t xml:space="preserve">SY084</t>
  </si>
  <si>
    <t xml:space="preserve">Medic 19</t>
  </si>
  <si>
    <t xml:space="preserve">Medic 19 to Holy Cross, how do you copy?
We're en route to your facility with a 48-year-old male, diabetic emergency, low blood sugar, priority three, approximately 5 minutes out.
Family found the patient combative, initial blood glucose 48.
Vitals: BP 116/57, pulse 102, respiratory rate 25, sat of 94%, and sugar is 105.
We administered 125 mL D10 IV, repeat glucose is 105 and the patient is now alert and oriented.
No medications. Allergies to contrast dye and sulfa.
Any questions for Medic 19?</t>
  </si>
  <si>
    <t xml:space="preserve">SY085</t>
  </si>
  <si>
    <t xml:space="preserve">Squad 7</t>
  </si>
  <si>
    <t xml:space="preserve">Squad 7 to Sibley with a patient report.
Priority one, 52-year-old female, stroke symptoms. How do you copy?
Last known well about 30 minutes ago.
Patient has right arm drift and right facial droop, speech is slurred.
Vitals are blood pressure 208/110, heart rate 102, SpO2 96%, and CBG 160.
LAMS is 4.
Patient is alert, oriented to person only.
IV established, 18-gauge right forearm.
No medications given.
Past medical history includes diabetes. No known allergies.
Requesting stroke team activation.
Any questions for Squad 7?</t>
  </si>
  <si>
    <t xml:space="preserve">SY086</t>
  </si>
  <si>
    <t xml:space="preserve">Ambulance 752</t>
  </si>
  <si>
    <t xml:space="preserve">Ambulance 752 to Fairfax with a notification only.
We're en route to your facility with a 94-year-old female, altered mental status and fever, priority two. How do you copy so far?
Family reports patient has been more confused for two days.
Staff report decreased oral intake, lethargy and a temperature.
Vitals on scene: BP 85/60, heart rate 114, resp rate 23, SpO2 93% on room air, and temp of 100.9.
GCS 14.
Skin is hot, dry and mottled at the knees.
Suspected respiratory source, coarse rhonchi in the bilateral bases, productive cough.
Lactate is 3.2.
18-gauge IV in the left AC, saline lock.
Running a 500 mL bolus.
Patient has a history of Alzheimer's dementia and chronic kidney disease. Takes donepezil and insulin.
Requesting a sepsis alert.
Our ETA to your facility is approximately 12 minutes.
Ambulance 752 clear.</t>
  </si>
  <si>
    <t xml:space="preserve">SY087</t>
  </si>
  <si>
    <t xml:space="preserve">Medic 26</t>
  </si>
  <si>
    <t xml:space="preserve">Washington Adventist, Medic 26. Did you copy our last?</t>
  </si>
  <si>
    <t xml:space="preserve">SY088</t>
  </si>
  <si>
    <t xml:space="preserve">Ambulance 723</t>
  </si>
  <si>
    <t xml:space="preserve">Ambulance 723 to Washington Adventist, how do you copy?
We have a 44-year-old male, CPR in progress.
Unwitnessed arrest in a parking lot, bystander CPR in progress on our arrival.
Initial rhythm asystole.
CPR in progress, mechanical CPR device in place.
Airway is an iGel.
Total down time approximately 12 minutes.
We have defibrillated times 4 and 2 rounds of epi.
See you in approximately 15 minutes.
How do you copy?</t>
  </si>
  <si>
    <t xml:space="preserve">SY089</t>
  </si>
  <si>
    <t xml:space="preserve">Unit 58</t>
  </si>
  <si>
    <t xml:space="preserve">Memorial, Unit 58 on the back line.
We have a 66-year-old male, chest pain, priority two.
Patient was sitting on the couch around 9 PM when he began to feel chest pressure radiating to the back between the shoulder blades.
Vitals on scene: blood pressure 122/80, rate of 115, sinus tach, resp rate 17, and satting at 97% on room air.
12-lead has been sent to your facility.
Patient is alert and oriented times four.
IV established, 18-gauge right AC.
Patient has received 324 mg aspirin chewed.
Medical history of GERD, hyperlipidemia, and ESRD on dialysis. NKDA.
We'll be at your facility in about 7 minutes.
Unit 58 clear.</t>
  </si>
  <si>
    <t xml:space="preserve">SY090</t>
  </si>
  <si>
    <t xml:space="preserve">Ambulance 735</t>
  </si>
  <si>
    <t xml:space="preserve">stroke alert</t>
  </si>
  <si>
    <t xml:space="preserve">Washington Adventist, Ambulance 735. Stroke alert, 42-year-old male, about 4 minutes out. How do you copy?</t>
  </si>
  <si>
    <t xml:space="preserve">SY091</t>
  </si>
  <si>
    <t xml:space="preserve">Paramedic 711</t>
  </si>
  <si>
    <t xml:space="preserve">syncope</t>
  </si>
  <si>
    <t xml:space="preserve">County General online, this is Paramedic 711.
Inbound with a 81-year-old male, chief complaint syncopal episode, priority two, approximately 8 minutes out.
Syncopal episode on the toilet, no trauma, now alert.
Current vitals are as follows: pressure 110/70, rate of 125, irregular, satting at 96% on 4 liters nasal cannula, and blood glucose 146.
Patient is alert and oriented times four, denies chest pain.
18-gauge IV in the right hand, saline lock.
Past medical history includes AFib. Medications include Eliquis.
Paramedic 711 clear.</t>
  </si>
  <si>
    <t xml:space="preserve">SY092</t>
  </si>
  <si>
    <t xml:space="preserve">Paramedic 722</t>
  </si>
  <si>
    <t xml:space="preserve">Good afternoon, Montgomery General, this is Paramedic 722.
We're en route to your facility with a 82-year-old male, possible stroke. How do you copy so far?
Last known well about 30 minutes ago.
Patient has left arm drift and left facial droop, speech is slurred.
Vitals on scene: blood pressure 189/80, pulse 106, respiratory rate 21, oxygen saturation 94%, and blood sugar 174.
Cincinnati stroke scale positive for arm drift and speech.
Patient is alert, oriented to person only.
22-gauge IV in the left forearm, saline lock.
Medical history of hypertension, diabetes, and CAD. Medications include metoprolol, warfarin, and atorvastatin.
Calling a stroke alert, requesting CT on arrival.
ETA 4 minutes.
Paramedic 722 clear.</t>
  </si>
  <si>
    <t xml:space="preserve">SY093</t>
  </si>
  <si>
    <t xml:space="preserve">Unit 58 to Holy Cross with a patient report.
We have a 20-month-old female, vomiting and diarrhea, priority one.
Three days of vomiting and diarrhea, decreased wet diapers, lethargic per mom.
Vitals are BP 99/46, rate of 167, respirations 28, satting at 99%, and CBG 73.
Delayed cap refill, dry mucous membranes.
22-gauge IV established, 20 mL per kilo bolus running.
No known allergies.
How do you copy?</t>
  </si>
  <si>
    <t xml:space="preserve">SY094</t>
  </si>
  <si>
    <t xml:space="preserve">Squad 6</t>
  </si>
  <si>
    <t xml:space="preserve">Squad 6 to White Oak with a notification only.
Inbound with a 38-year-old male, chief complaint cardiac arrest, priority one.
Witnessed arrest in a parking lot, no bystander CPR.
Initial rhythm PEA.
CPR in progress, mechanical CPR device in place.
Airway is an iGel.
Total down time approximately 8 minutes.
We have one round of epi.
IO established right tibia.
Requesting the resuscitation bay.
ETA 4 minutes.
If you have no further questions, we'll see you shortly.</t>
  </si>
  <si>
    <t xml:space="preserve">SY095</t>
  </si>
  <si>
    <t xml:space="preserve">Squad 19 to Memorial, how do you copy?
13-month-old female, respiratory distress., approximately 10 minutes out.
Patient has had a cough and fever for two days, worse tonight.
Current vitals are as follows: blood pressure 89/52, pulse 122, resp rate 42, and oxygen saturation 87% on blow-by oxygen.
Retractions and nasal flaring noted.
We administered 2.5 mg albuterol nebulized, with some improvement.
NKDA.
How do you copy?</t>
  </si>
  <si>
    <t xml:space="preserve">SY096</t>
  </si>
  <si>
    <t xml:space="preserve">Unit 22</t>
  </si>
  <si>
    <t xml:space="preserve">Memorial, Unit 22.
We have a 64-year-old female, stroke alert, approximately 7 minutes out.
Last known well 1 hours ago.
Sudden onset left-sided weakness and confusion.
Vitals on scene: pressure 180/95, pulse 77, respirations 16, satting at 94% on 6 liters nasal cannula, and blood sugar 188.
Cincinnati stroke scale positive for arm drift and speech.
No trauma noted.
Patient has a history of hyperlipidemia. Takes atorvastatin, lisinopril, and metoprolol. Allergies to penicillin and shellfish.
Requesting stroke team activation.
Unit 22 clear.</t>
  </si>
  <si>
    <t xml:space="preserve">SY097</t>
  </si>
  <si>
    <t xml:space="preserve">Paramedic 711 to Holy Cross, how do you copy?
We're en route to your facility with a 67-year-old male, rectal bleeding, priority three. How do you copy so far?
Vomited approximately a cup of bright red blood this morning.
Vitals on scene: pressure 96/51, heart rate 128, and satting at 98% on 2 liters nasal cannula.
Patient is pale and diaphoretic, skin cool.
Two large bore IVs established, running wide open.
500 mL bolus running.
Past medical history includes hypertension. No medications. Allergic to morphine.
See you in approximately 5 minutes.
Paramedic 711 clear.</t>
  </si>
  <si>
    <t xml:space="preserve">SY098</t>
  </si>
  <si>
    <t xml:space="preserve">Unit 16</t>
  </si>
  <si>
    <t xml:space="preserve">Fairfax, Unit 16. Trauma, 43-year-old male. How do you copy?</t>
  </si>
  <si>
    <t xml:space="preserve">SY099</t>
  </si>
  <si>
    <t xml:space="preserve">Squad 26</t>
  </si>
  <si>
    <t xml:space="preserve">Squad 26 to County General, how do you copy?
Priority one, 65-year-old male, chest pain. How do you copy?
Pain started about half an hour ago, left-sided, radiating to the left shoulder.
Vitals: BP 175/77, heart rate 84 and irregular, and sat of 96% on room air.
Patient is alert and oriented, diaphoretic.
12-lead shows ST elevation in leads V1 through V4, consistent with anterior STEMI.
We've established an 18-gauge IV left forearm.
Administered 81 mg times four aspirin and 0.4 mg nitro sublingual times one.
Pain down to 4 out of 10 after the nitro.
Past medical history includes type 2 diabetes and CHF. Patient is DNR but full treatment per POLST form, which we have with us.
12-lead has been transmitted to your facility; requesting cath lab.
We're about 5 minutes out.
How do you copy?</t>
  </si>
  <si>
    <t xml:space="preserve">SY100</t>
  </si>
  <si>
    <t xml:space="preserve">Unit 39</t>
  </si>
  <si>
    <t xml:space="preserve">Unit 39 to White Oak, how do you copy?
Priority two, 60-year-old female, generalized weakness. How do you copy?
Family found the patient on the floor, unable to get up, unknown down time, no injuries.
Vitals: pressure 142/81, rate of 80, respirations 16, and satting at 97% on room air.
No focal deficits, Cincinnati negative.
Patient has a history of dementia, diabetes, and CHF. Takes furosemide, donepezil, and metformin. Patient is DNR but full treatment per POLST form, which we have with us.
Our ETA to your facility is approximately 10 minutes.
Any questions for Unit 39?</t>
  </si>
  <si>
    <t xml:space="preserve">SY101</t>
  </si>
  <si>
    <t xml:space="preserve">County General, Paramedic 711. Be advised the patient's blood pressure is now 104/90, heart rate 112.</t>
  </si>
  <si>
    <t xml:space="preserve">SY102</t>
  </si>
  <si>
    <t xml:space="preserve">Medic 730</t>
  </si>
  <si>
    <t xml:space="preserve">Good evening, Germantown, this is Medic 730.
We're en route to your facility with a 49-year-old female, chest pain, priority two, approximately 20 minutes out.
Patient was at home when the pain started approximately 30 minutes ago.
Vitals on scene: pressure 98/73, rate of 59, sinus brady, respiratory rate 18, and SpO2 98%.
Patient is alert and oriented, diaphoretic.
12-lead shows ST elevation in leads V2 through V5, consistent with anterior STEMI.
Pain is 6 out of 10.
IV established, 18-gauge left AC.
Administered 324 mg aspirin PO, 0.4 mg nitro sublingual times one, and 25 mcg fentanyl IV.
Some relief with the nitro.
Past medical history includes hypertension and CHF. Takes metformin. Allergies to amoxicillin and morphine.
Requesting a STEMI alert and cath lab activation.
Medic 730 clear.</t>
  </si>
  <si>
    <t xml:space="preserve">SY103</t>
  </si>
  <si>
    <t xml:space="preserve">Ambulance 715</t>
  </si>
  <si>
    <t xml:space="preserve">Sibley, Ambulance 715. Correction, the patient is 59, not 69. ETA 6 minutes.</t>
  </si>
  <si>
    <t xml:space="preserve">SY104</t>
  </si>
  <si>
    <t xml:space="preserve">Medic 25</t>
  </si>
  <si>
    <t xml:space="preserve">Montgomery General, Medic 25.
We have a 93-year-old female, fever and hypotension, priority two.
Per nursing staff, patient was at baseline until this morning.
Staff report decreased oral intake, lethargy and a temperature.
Current vitals are as follows: blood pressure 100/59, rate of 109, respiratory rate 25, SpO2 89% on 4 liters nasal cannula, and temperature 100.9.
GCS 14.
Skin is warm and flushed.
Suspected respiratory source, coarse rhonchi in the bilateral bases, productive cough.
22-gauge IV in the right AC, saline lock.
Running a 500 mL bolus.
History of Alzheimer's dementia, chronic kidney disease, and type 2 diabetes. Patient is DNR DNI per paperwork.</t>
  </si>
  <si>
    <t xml:space="preserve">SY105</t>
  </si>
  <si>
    <t xml:space="preserve">Paramedic 725</t>
  </si>
  <si>
    <t xml:space="preserve">Good morning, County General, this is Paramedic 725.
92-year-old female, possible stroke. How do you copy?
Last known well last night at bedtime, found this way this morning.
Family noticed left-sided facial droop and slurred speech.
Vitals: BP 189/85, pulse 62, respirations 21, satting at 99% on room air, and CBG 100.
LAMS is 4.
Grips weaker on the left.
Patient has a history of prior stroke. Medications include atorvastatin.
Calling a stroke alert, requesting CT on arrival.
ETA 6 minutes.
If you have no further questions, we'll see you shortly.</t>
  </si>
  <si>
    <t xml:space="preserve">SY106</t>
  </si>
  <si>
    <t xml:space="preserve">Unit 54</t>
  </si>
  <si>
    <t xml:space="preserve">Memorial, Unit 54 on the back line.
We have a 80-year-old female, stroke alert, priority two.
Last known well about 45 minutes ago.
Sudden onset right-sided weakness and confusion.
Current vitals are as follows: blood pressure 176/110, rate of 81, AFib, respirations 18, SpO2 94% on 2 liters nasal cannula, and blood sugar 106.
Cincinnati stroke scale positive for arm drift and speech.
Patient is alert, oriented to person only.
We've established a 22-gauge IV left forearm.
Allergic to morphine.
Requesting stroke team activation.
We're about 8 minutes out.
How do you copy?</t>
  </si>
  <si>
    <t xml:space="preserve">SY107</t>
  </si>
  <si>
    <t xml:space="preserve">Squad 5 to Washington Adventist, how do you copy?
We have a 72-year-old female, altered mental status and fever, priority one.
Per nursing staff, patient was at baseline until this morning.
Staff report decreased oral intake, lethargy and a temperature.
Vitals are pressure 98/60, pulse 121, oxygen saturation 95% on 4 liters nasal cannula, temperature 100.9, and sugar is 144.
Skin is hot, dry and mottled at the knees.
Suspected respiratory source, coarse rhonchi in the bilateral bases, productive cough.
Lactate is 3.2.
Patient has a history of chronic kidney disease. Allergic to penicillin. Patient is a DNR.
See you in approximately 2 minutes.
Squad 5 clear.</t>
  </si>
  <si>
    <t xml:space="preserve">SY108</t>
  </si>
  <si>
    <t xml:space="preserve">Paramedic 733</t>
  </si>
  <si>
    <t xml:space="preserve">Paramedic 733 to Holy Cross with a patient report.
We have a 95-year-old female, fever and hypotension, priority one.
Per nursing staff, patient was at baseline until this morning.
Patient was found lethargic and hypotensive on our arrival.
Vitals on scene: pressure 97/47, pulse 103, resp rate 25, satting at 88%, and temperature 103.1.
GCS is 12.
Skin is hot, dry and mottled at the knees.
Suspected respiratory source, coarse rhonchi in the bilateral bases, productive cough.
IV established, 20-gauge left forearm.
Running a 1000 mL bolus.
Past medical history includes type 2 diabetes. Patient is on lisinopril and Eliquis. Allergies to amoxicillin and sulfa. Patient is full code.
Requesting a sepsis alert.
We're about 8 minutes out.
Paramedic 733 clear.</t>
  </si>
  <si>
    <t xml:space="preserve">SY109</t>
  </si>
  <si>
    <t xml:space="preserve">Paramedic 705</t>
  </si>
  <si>
    <t xml:space="preserve">Riverside, Paramedic 705.
We have a 74-year-old male, CPR in progress.
Unwitnessed arrest in a parking lot, bystander CPR in progress on our arrival.
Initial rhythm V-fib, now PEA.
CPR in progress, mechanical CPR device in place.
Airway is an iGel.
CPR has been ongoing for 12 minutes.
We have 3 rounds of epi.
18-gauge IV left AC.
Patient is a DNR.
See you in approximately 2 minutes.
Any questions for Paramedic 705?</t>
  </si>
  <si>
    <t xml:space="preserve">SY110</t>
  </si>
  <si>
    <t xml:space="preserve">Medic 754</t>
  </si>
  <si>
    <t xml:space="preserve">Medic 754 to White Oak, how do you copy?
We have a 74-year-old male, cardiac arrest.
Witnessed arrest at a gym, CPR started by family.
Initial rhythm V-fib, now PEA.
Vitals: blood pressure 115/77, rate of 48, and sat of 96%.
GCS is 3.
Patient is unresponsive, GCS 3, pupils sluggish.
Airway managed with BVM and an OPA.
CPR has been ongoing for 25 minutes.
We have 3 rounds of epi.
18-gauge IV left AC.
ROSC achieved approximately 8 minutes ago.
No known allergies. Patient is DNR but full treatment per POLST form, which we have with us.
Requesting the resuscitation bay.
We'll be at your facility in about 4 minutes.
How do you copy?</t>
  </si>
  <si>
    <t xml:space="preserve">SY111</t>
  </si>
  <si>
    <t xml:space="preserve">Ambulance 755</t>
  </si>
  <si>
    <t xml:space="preserve">Good morning, Montgomery General, this is Ambulance 755.
Inbound with a 31-year-old female, chief complaint suicidal ideation, priority two, approximately 8 minutes out.
Patient called a crisis line stating a plan to overdose; denies having taken anything.
Patient is voluntary.
Vitals: blood pressure 121/71, pulse 121, respirations 19, and satting at 99% on room air.
Pupils equal, speech rapid.
History of depression and schizophrenia. No medications. No known allergies.
Any questions for Ambulance 755?</t>
  </si>
  <si>
    <t xml:space="preserve">SY112</t>
  </si>
  <si>
    <t xml:space="preserve">Medic 703</t>
  </si>
  <si>
    <t xml:space="preserve">White Oak online, this is Medic 703.
70-year-old male, stroke alert., approximately 5 minutes out.
Last known well last night at bedtime, found this way this morning.
Sudden onset right-sided weakness and aphasia.
Vitals are BP 175/102, pulse 81, respiratory rate 14, oxygen saturation 94% on room air, and blood sugar 102.
Cincinnati is positive, three out of three.
Patient is alert, oriented to person only.
We've established an 18-gauge IV left AC.
Past medical history includes diabetes.
Requesting stroke team activation.
Medic 703 clear.</t>
  </si>
  <si>
    <t xml:space="preserve">SY113</t>
  </si>
  <si>
    <t xml:space="preserve">Medic 9</t>
  </si>
  <si>
    <t xml:space="preserve">Good morning, Memorial, this is Medic 9.
We're en route to your facility with a 78-year-old female, chest pain, priority three. How do you copy so far?
Patient was sitting on the couch around 10 PM when she began to feel substernal chest pain radiating to the back between the shoulder blades.
Vitals on scene: pressure 189/91, heart rate 123, sinus tach, resp rate 20, and oxygen saturation 94% on room air.
12-lead is unremarkable.
Patient is alert and oriented times four.
We've established a 20-gauge IV left forearm.
Patient has received 400 mcg nitro sublingual.
Medical history of diabetes and hyperlipidemia. No known drug allergies.
We'll be at your facility in about 8 minutes.
If you have no further questions, we'll see you shortly.</t>
  </si>
  <si>
    <t xml:space="preserve">SY114</t>
  </si>
  <si>
    <t xml:space="preserve">Shady Grove, Squad 25 on the back line.
Inbound with a 56-year-old female, chief complaint stroke alert, priority one, approximately 10 minutes out.
Last known well 9:00 this morning.
Family noticed right-sided facial droop and slurred speech.
Vitals on scene: blood pressure 214/84, pulse 76, respirations 20, satting at 97% on room air, and CBG 113.
LAMS is 3.
Grips weaker on the right.
No medications given.
History of hyperlipidemia, CAD, and AFib. Home meds are warfarin.
Requesting a stroke alert.
If you have no further questions, we'll see you shortly.</t>
  </si>
  <si>
    <t xml:space="preserve">SY115</t>
  </si>
  <si>
    <t xml:space="preserve">Germantown online, this is Squad 5.
We're en route to your facility with a 25-year-old male, hyperglycemia, priority one. How do you copy so far?
Patient's home meter read high; complaining of thirst and weakness for a week.
Patient alert and oriented, no vomiting.
Vitals: blood pressure 112/80, pulse 119, resp rate 27, satting at 98% on room air, and sugar is 370.
We've established an 18-gauge IV left AC.
No known drug allergies. Family states patient is a full code.
See you in approximately 10 minutes.
How do you copy?</t>
  </si>
  <si>
    <t xml:space="preserve">SY116</t>
  </si>
  <si>
    <t xml:space="preserve">Ambulance 717</t>
  </si>
  <si>
    <t xml:space="preserve">Fairfax, Ambulance 717. Correction, the patient is 77, not 87.</t>
  </si>
  <si>
    <t xml:space="preserve">SY117</t>
  </si>
  <si>
    <t xml:space="preserve">County General online, this is Squad 21.
We have a 75-year-old female, altered mental status and fever.
Per nursing staff, patient was at baseline until this morning.
Patient became increasingly confused and febrile.
Vitals on scene: pressure 80/55, pulse 117, oxygen saturation 95% on 2 liters nasal cannula, temp of 101.8, and sugar is 285.
Skin is hot, dry and mottled at the knees.
Suspected respiratory source, coarse rhonchi in the bilateral bases, productive cough.
IV established, 22-gauge right hand.
500 mL of normal saline in so far.
Medical history of atrial fibrillation and type 2 diabetes. Home meds are levothyroxine, lisinopril, and insulin. No known drug allergies.
We're calling a sepsis alert.
Our ETA to your facility is approximately 20 minutes.
Any questions for Squad 21?</t>
  </si>
  <si>
    <t xml:space="preserve">SY118</t>
  </si>
  <si>
    <t xml:space="preserve">Ambulance 746</t>
  </si>
  <si>
    <t xml:space="preserve">Ambulance 746 to Montgomery General with a notification only.
We have a 53-year-old male, hyperglycemia, priority two.
Patient's home meter read high; complaining of thirst and weakness for a week.
Patient alert and oriented, no vomiting.
Vitals are blood pressure 119/69, heart rate 87, resp rate 27, SpO2 96% on room air, and sugar is 343.
IV established, 22-gauge left hand.
Our ETA to your facility is approximately 4 minutes.
Any questions for Ambulance 746?</t>
  </si>
  <si>
    <t xml:space="preserve">SY119</t>
  </si>
  <si>
    <t xml:space="preserve">Medic 25 to White Oak with a patient report.
84-year-old female, stroke symptoms. How do you copy?
Last known well 9:00 this morning.
Patient has right arm drift and right facial droop, speech is slurred.
Vitals on scene: pressure 187/84, heart rate 107, irregular, SpO2 98% on room air, and blood glucose 105.
Cincinnati stroke scale positive for arm drift and speech.
No trauma noted.
IV established, 20-gauge left AC.
Past medical history includes diabetes. No known allergies.
Requesting stroke team activation.
See you in approximately 20 minutes.
Any questions for Medic 25?</t>
  </si>
  <si>
    <t xml:space="preserve">SY120</t>
  </si>
  <si>
    <t xml:space="preserve">Medic 727</t>
  </si>
  <si>
    <t xml:space="preserve">Medic 727 to Sibley, how do you copy?
Priority two, 89-year-old female, fever and hypotension. How do you copy?
Family reports patient has been more confused for two days.
Patient became increasingly confused and febrile.
Vitals on scene: blood pressure 79/42, pulse 113, respirations 26, oxygen saturation 94% on room air, and temp of 101.8.
GCS is 12.
Patient oriented to name only.
No obvious source.
IV established, 22-gauge right forearm.
Running a 500 mL bolus.
Patient has a history of type 2 diabetes. Patient is full code.
We're calling a sepsis alert.
ETA 5 minutes.
Any questions for Medic 727?</t>
  </si>
  <si>
    <t xml:space="preserve">SY121</t>
  </si>
  <si>
    <t xml:space="preserve">Medic 710</t>
  </si>
  <si>
    <t xml:space="preserve">Medic 710 to Montgomery General with a patient report.
We're en route to your facility with a 81-year-old male, chest pain, priority one, approximately 7 minutes out.
Onset was around 11 AM while eating dinner.
Current vitals are as follows: BP 136/92, heart rate 76, and oxygen saturation 98% on room air.
Patient is nauseous, no vomiting.
12-lead shows ST elevation in leads V1 through V4, consistent with anterior STEMI.
IV established, 18-gauge right hand.
Administered 81 mg times four aspirin and 0.4 mg nitro sublingual times one.
No relief with the nitro.
Patient has a history of prior MI and hypertension.
12-lead has been transmitted to your facility; requesting cath lab.
Medic 710 clear.</t>
  </si>
  <si>
    <t xml:space="preserve">SY122</t>
  </si>
  <si>
    <t xml:space="preserve">Medic 715</t>
  </si>
  <si>
    <t xml:space="preserve">Good afternoon, Suburban, this is Medic 715.
We have a 41-year-old female, GSW to the left thigh, priority one.
Positive loss of consciousness at scene per bystanders.
Vitals are blood pressure 97/56, rate of 105, and sat of 96% on room air.
GCS of 9.
Injuries include no exit wound found.
C-collar in place, spinal motion restriction.
Patient confused but following commands.
Two large bore IVs established, running wide open.
Administered 50 mcg fentanyl IV.
No past medical history per family. NKDA.
Requesting trauma team activation.
Any questions for Medic 715?</t>
  </si>
  <si>
    <t xml:space="preserve">SY123</t>
  </si>
  <si>
    <t xml:space="preserve">Ambulance 711 to Sibley, how do you copy?
We have a 27-year-old male, MVC, unrestrained passenger, significant front end damage, priority two.
No loss of consciousness.
Current vitals are as follows: BP 114/64, pulse 112, respiratory rate 28 and shallow, and satting at 99%.
GCS of 9.
Injuries include chest wall tenderness and left femur deformity.
Patient is c-spine immobilized on a backboard.
Abdomen soft, non-tender.
We have two large bore IVs, fluids running wide open.
No medications administered.
Medical history of alcohol use. Takes metformin. No known allergies.
Requesting trauma activation.
We're about 6 minutes out.</t>
  </si>
  <si>
    <t xml:space="preserve">SY124</t>
  </si>
  <si>
    <t xml:space="preserve">Paramedic 739</t>
  </si>
  <si>
    <t xml:space="preserve">Paramedic 739 to Montgomery General, how do you copy?
Priority two, 87-year-old female, stroke alert. How do you copy?
Last known well about 90 minutes ago.
Sudden onset right-sided weakness and aphasia.
Current vitals are as follows: BP 151/115, pulse 96, irregular, respirations 21, oxygen saturation 95%, and blood glucose 93.
Cincinnati is positive, two out of three.
Patient is alert, oriented to person only.
22-gauge IV in the right hand, saline lock.
No medications given.
Past medical history includes CAD and hyperlipidemia. Allergies to penicillin and contrast dye.
Calling a stroke alert, requesting CT on arrival.</t>
  </si>
  <si>
    <t xml:space="preserve">SY125</t>
  </si>
  <si>
    <t xml:space="preserve">Montgomery General online, this is Squad 4.
We're en route to your facility with a 8-year-old female, trouble breathing, priority two, approximately 3 minutes out.
Mom called because the patient was working harder to breathe with a lot of drool and a cough.
Vitals: blood pressure 85/52, heart rate 133, resp rate 35, and SpO2 94% on blow-by oxygen.
Wheezes bilaterally.
We administered 2.5 mg albuterol nebulized, with some improvement.
Patient has a history of seizure disorder and asthma.</t>
  </si>
  <si>
    <t xml:space="preserve">SY126</t>
  </si>
  <si>
    <t xml:space="preserve">Medic 24</t>
  </si>
  <si>
    <t xml:space="preserve">Washington Adventist online, this is Medic 24.
Inbound with a 72-year-old male, chief complaint stroke symptoms, priority two.
Last known well 8:15 this morning.
Patient has right arm drift and right facial droop, speech is slurred.
Current vitals are as follows: BP 157/105, rate of 68, AFib, respirations 15, SpO2 97%, and blood sugar 151.
LAMS is 4.
No trauma noted.
IV established, 20-gauge left AC.
No past medical history per family. Patient is a DNR.
Requesting a stroke alert.
We're about 5 minutes out.
Any questions for Medic 24?</t>
  </si>
  <si>
    <t xml:space="preserve">SY127</t>
  </si>
  <si>
    <t xml:space="preserve">Squad 19 to Washington Adventist with a notification only.
We're en route to your facility with a 90-year-old male, motorcycle crash, helmeted, priority two. How do you copy so far?
Current vitals are as follows: pressure 101/72, heart rate 133, resp rate 28, and SpO2 93%.
GCS 8: 2, 2, 4.
Injuries include road rash to the left side and left clavicle deformity.
Patient is c-spine immobilized on a backboard.
Breath sounds bilateral but diminished on the right.
Two large bore IVs established, running wide open.
History of seizure disorder and diabetes. Patient is on warfarin and Keppra.
Requesting trauma activation.
ETA 4 minutes.
Any questions for Squad 19?</t>
  </si>
  <si>
    <t xml:space="preserve">SY128</t>
  </si>
  <si>
    <t xml:space="preserve">Squad 10</t>
  </si>
  <si>
    <t xml:space="preserve">Squad 10 to Suburban with a patient report.
Inbound with a 58-year-old male, chief complaint possible stroke, priority one.
Last known well 2 hours ago.
Sudden onset right-sided weakness and slurred speech.
Vitals are BP 153/84, pulse 82, respirations 16, sat of 94% on room air, and sugar is 107.
Cincinnati stroke scale positive for arm drift and speech.
Patient is alert, oriented to person only.
We've established an 18-gauge IV right forearm.
Patient has a history of hypertension. Home meds are lisinopril and metoprolol. No known drug allergies.
Requesting a stroke alert.
We'll be at your facility in about 8 minutes.</t>
  </si>
  <si>
    <t xml:space="preserve">SY129</t>
  </si>
  <si>
    <t xml:space="preserve">Washington Adventist, Ambulance 737. Correction, the patient is 42, not 52.</t>
  </si>
  <si>
    <t xml:space="preserve">SY130</t>
  </si>
  <si>
    <t xml:space="preserve">cardiac arrest</t>
  </si>
  <si>
    <t xml:space="preserve">Holy Cross, Medic 19. Cardiac arrest, priority one, 45-year-old male, about 6 minutes out. How do you copy?</t>
  </si>
  <si>
    <t xml:space="preserve">SY131</t>
  </si>
  <si>
    <t xml:space="preserve">Ambulance 718</t>
  </si>
  <si>
    <t xml:space="preserve">Washington Adventist, Ambulance 718.
We're en route to your facility with a 61-year-old female, assault with a blunt object to the head, approximately 12 minutes out.
No loss of consciousness.
Patient is a visitor from out of state, no history available, allergy status unknown.
Vitals: BP 142/91, rate of 103, and satting at 89% on 15 liters non-rebreather.
GCS 15: 4, 5, 6.
Injuries include epistaxis.
Patient is c-spine immobilized on a backboard.
Pupils equal and reactive.
We have two large bore IVs, fluids running wide open.
Requesting trauma activation.
Ambulance 718 clear.</t>
  </si>
  <si>
    <t xml:space="preserve">SY132</t>
  </si>
  <si>
    <t xml:space="preserve">Ambulance 732</t>
  </si>
  <si>
    <t xml:space="preserve">White Oak, Ambulance 732.
89-year-old female, possible stroke. How do you copy?
Last known well about 45 minutes ago.
Patient has right arm drift and right facial droop, speech is slurred.
Vitals on scene: pressure 164/82, pulse 74, irregular, resp rate 21, SpO2 94% on 2 liters nasal cannula, and CBG 177.
Cincinnati is positive, two out of three.
Pupils equal and reactive.
We've established an 18-gauge IV left hand.
Medical history of CAD, diabetes, and AFib. Medications include atorvastatin.
Requesting stroke team activation.</t>
  </si>
  <si>
    <t xml:space="preserve">SY133</t>
  </si>
  <si>
    <t xml:space="preserve">Paramedic 752</t>
  </si>
  <si>
    <t xml:space="preserve">Fairfax, Paramedic 752. Update, patient is now alert and oriented, vitals unchanged. ETA 20 minutes.</t>
  </si>
  <si>
    <t xml:space="preserve">SY134</t>
  </si>
  <si>
    <t xml:space="preserve">Medic 49</t>
  </si>
  <si>
    <t xml:space="preserve">Medic 49 to Riverside with a priority traffic.
73-year-old female, altered mental status and fever. How do you copy?
Patient is from Sunrise Nursing Facility.
Patient was found lethargic and hypotensive on our arrival.
Current vitals are as follows: BP 99/47, pulse 106, SpO2 92% on 15 liters non-rebreather, and temp of 103.1.
Patient oriented to name only.
No obvious source.
18-gauge IV in the left AC, saline lock.
Running a 1000 mL bolus.
Past medical history includes COPD, atrial fibrillation, and chronic kidney disease. Medications include metoprolol. No known drug allergies. Patient is DNR DNI per paperwork.
Our ETA to your facility is approximately 20 minutes.
Medic 49 clear.</t>
  </si>
  <si>
    <t xml:space="preserve">SY135</t>
  </si>
  <si>
    <t xml:space="preserve">Paramedic 746 to Washington Adventist with a notification only.
Inbound with a 18-year-old female, chief complaint acute psychosis, priority three.
Paranoid, states people are following, calm with us now.
Police are following us in.
Vitals are BP 133/88, heart rate 92, respiratory rate 23, and sat of 99%.
No signs of trauma, no medical complaints.
Past medical history includes bipolar disorder, opioid use, and anxiety. Medications include lithium and Seroquel. No known allergies.
We'll be at your facility in about 3 minutes.
Paramedic 746 clear.</t>
  </si>
  <si>
    <t xml:space="preserve">SY136</t>
  </si>
  <si>
    <t xml:space="preserve">Squad 12 to County General, how do you copy?
We have a 50-year-old male, respiratory distress, priority two.
Increasing shortness of breath for two days, worse tonight, unable to speak full sentences.
Current vitals are as follows: blood pressure 147/73, rate of 110, respiratory rate 26, and satting at 83% on 15 liters non-rebreather.
Wheezes bilaterally, accessory muscle use.
We've given 2.5 mg albuterol, 0.5 mg ipratropium nebulized, and 125 mg Solu-Medrol IV with some improvement.
History of COPD, CHF, and hypertension. Takes Lasix. Allergic to morphine.
If you have no further questions, we'll see you shortly.</t>
  </si>
  <si>
    <t xml:space="preserve">SY137</t>
  </si>
  <si>
    <t xml:space="preserve">Paramedic 758</t>
  </si>
  <si>
    <t xml:space="preserve">Good evening, Memorial, this is Paramedic 758.
Inbound with a 72-year-old female, chief complaint possible sepsis, priority two, approximately 15 minutes out.
Family reports patient has been more confused for two days.
Patient was found lethargic and hypotensive on our arrival.
Current vitals are as follows: blood pressure 101/59, pulse 126, respirations 28, sat of 93% on 15 liters non-rebreather, and temp of 101.8.
GCS 14.
Patient oriented to name only.
Suspected urinary source, foley catheter in place, urine appears cloudy.
20-gauge IV in the right hand, saline lock.
500 mL of normal saline in so far.
Patient has a history of chronic kidney disease. Patient is on levothyroxine, furosemide, and donepezil.
How do you copy?</t>
  </si>
  <si>
    <t xml:space="preserve">SY138</t>
  </si>
  <si>
    <t xml:space="preserve">Medic 720</t>
  </si>
  <si>
    <t xml:space="preserve">Good afternoon, White Oak, this is Medic 720.
Inbound with a 89-year-old male, chief complaint fever and hypotension.
Per nursing staff, patient was at baseline until this morning.
Patient became increasingly confused and febrile.
Current vitals are as follows: pressure 94/57, heart rate 100, respirations 29, satting at 90% on 15 liters non-rebreather, temp of 101.8, and blood glucose 246.
GCS 11: 3, 3, 5.
Patient oriented to name only.
Suspected skin source, a stage 4 sacral decubitus with foul drainage.
Past medical history includes hypertension. Takes lisinopril. NKDA.
Our ETA to your facility is approximately 7 minutes.</t>
  </si>
  <si>
    <t xml:space="preserve">SY139</t>
  </si>
  <si>
    <t xml:space="preserve">Sibley, Unit 13 on the back line.
Inbound with a 3-year-old female, chief complaint vomiting and diarrhea, priority one, approximately 2 minutes out.
Two days of vomiting and diarrhea, not keeping fluids down.
Vitals: pressure 84/51, heart rate 151, resp rate 42, sat of 96% on room air, and CBG 108.
Delayed cap refill, dry mucous membranes.
How do you copy?</t>
  </si>
  <si>
    <t xml:space="preserve">SY140</t>
  </si>
  <si>
    <t xml:space="preserve">Medic 20</t>
  </si>
  <si>
    <t xml:space="preserve">seizure</t>
  </si>
  <si>
    <t xml:space="preserve">Shady Grove, Medic 20.
We're en route to your facility with a 71-year-old female, seizure, priority two. How do you copy so far?
Found down after a seizure per bystanders, incontinent of urine.
Vitals on scene: BP 129/72, pulse 115, resp rate 19, and SpO2 94%.
GCS of 15.
Tongue laceration noted, no other trauma.
History of alcohol use.
ETA 5 minutes.
Medic 20 clear.</t>
  </si>
  <si>
    <t xml:space="preserve">SY141</t>
  </si>
  <si>
    <t xml:space="preserve">Medic 31</t>
  </si>
  <si>
    <t xml:space="preserve">County General online, this is Medic 31.
Priority three, 66-year-old male, chest pain. How do you copy?
Patient reports a heaviness on the chest for the last hour.
Vitals on scene: BP 143/110, rate of 123, sinus tach, respirations 21, and satting at 96% on room air.
12-lead is unremarkable.
Currently complaining of 4 out of 10 chest pain.
We've established an 18-gauge IV right AC.
We administered 324 mg aspirin chewed.
No significant medical history.
See you in approximately 10 minutes.
Medic 31 clear.</t>
  </si>
  <si>
    <t xml:space="preserve">SY142</t>
  </si>
  <si>
    <t xml:space="preserve">Squad 9</t>
  </si>
  <si>
    <t xml:space="preserve">Fairfax, Squad 9.
Inbound with a 75-year-old male, chief complaint possible stroke, priority one.
Last known well last night at bedtime, found this way this morning.
Sudden onset right-sided weakness and aphasia.
Current vitals are as follows: BP 202/100, heart rate 110, irregular, resp rate 18, sat of 97% on room air, and sugar is 102.
Cincinnati is positive, two out of three.
Patient is alert, oriented to person only.
No medications given.
Medical history of hypertension. Patient is on lisinopril, metoprolol, and atorvastatin.
Requesting stroke team activation.
See you in approximately 10 minutes.
Any questions for Squad 9?</t>
  </si>
  <si>
    <t xml:space="preserve">SY143</t>
  </si>
  <si>
    <t xml:space="preserve">Ambulance 715 to Fairfax, how do you copy?
We have a 86-year-old female, altered mental status and fever, priority one.
Per nursing staff, patient was at baseline until this morning.
Patient was found lethargic and hypotensive on our arrival.
Vitals are BP 94/46, pulse 113, resp rate 31, satting at 88% on 15 liters non-rebreather, and temp of 101.8.
GCS is 13, eyes 3, verbal 4, motor 6.
Skin is warm and flushed.
No obvious source.
18-gauge IV in the right AC, saline lock.
1000 mL normal saline bolus initiated.
Patient has a history of COPD. Takes furosemide and insulin. Patient is DNR DNI per paperwork.
ETA 3 minutes.
Ambulance 715 clear.</t>
  </si>
  <si>
    <t xml:space="preserve">SY144</t>
  </si>
  <si>
    <t xml:space="preserve">Squad 28</t>
  </si>
  <si>
    <t xml:space="preserve">Holy Cross, Squad 28.
We're en route to your facility with a 34-year-old female, acute psychosis. How do you copy so far?
Patient reports hearing voices for three days and has not slept.
Police are following us in.
Vitals: blood pressure 158/70, pulse 113, resp rate 24, and satting at 97% on room air.
Patient is alert and oriented times four, cooperative.
No past medical history per family.
We're about 8 minutes out.
Squad 28 clear.</t>
  </si>
  <si>
    <t xml:space="preserve">SY145</t>
  </si>
  <si>
    <t xml:space="preserve">Good afternoon, County General, this is Squad 8.
Inbound with a 36-year-old female, chief complaint hypoglycemia, priority two.
Family found the patient confused and diaphoretic, initial blood glucose 49.
Vitals: pressure 96/59, heart rate 110, resp rate 32, oxygen saturation 97%, and sugar is 162.
We administered 125 mL D10 IV, repeat glucose is 162 and the patient is now alert and oriented.
Patient has a history of CKD and type 1 diabetes. Home meds are lisinopril and Lantus.
See you in approximately 7 minutes.
How do you copy?</t>
  </si>
  <si>
    <t xml:space="preserve">SY146</t>
  </si>
  <si>
    <t xml:space="preserve">Ambulance 753</t>
  </si>
  <si>
    <t xml:space="preserve">Riverside online, this is Ambulance 753.
Priority one, 29-year-old female, 41 weeks pregnant, active labor., approximately 12 minutes out.
G3 P1, 41 weeks by her dates.
Contractions every 3 minutes lasting about a minute, water broke this morning.
Current vitals are as follows: BP 132/62, rate of 122, respiratory rate 19, and oxygen saturation 98% on 2 liters nasal cannula.
Patient has the urge to push, no crowning on our exam.
We've established an 18-gauge IV right hand.
History of gestational diabetes. Home meds are insulin. No known allergies.
Requesting labor and delivery be notified.
If you have no further questions, we'll see you shortly.</t>
  </si>
  <si>
    <t xml:space="preserve">SY147</t>
  </si>
  <si>
    <t xml:space="preserve">Squad 4 to Holy Cross with a patient report.
Priority three, 43-year-old female, AFib with RVR. How do you copy?
Patient felt her heart racing while at work, no chest pain.
Vitals are blood pressure 117/73, rate of 171, AFib with RVR, and SpO2 96% on room air.
12-lead shows AFib with RVR, no ST changes.
We've established a 20-gauge IV right hand.
Administered 20 mg diltiazem IV with the rate down to the 110s.
Medical history of hypothyroidism and hypertension. Medications include levothyroxine. Allergic to morphine.
See you in approximately 2 minutes.</t>
  </si>
  <si>
    <t xml:space="preserve">SY148</t>
  </si>
  <si>
    <t xml:space="preserve">Medic 735</t>
  </si>
  <si>
    <t xml:space="preserve">Medic 735 to White Oak, how do you copy?
Inbound with a 51-year-old male, chief complaint chest pain, approximately 3 minutes out.
Patient was at home when the pain started approximately 90 minutes ago.
Current vitals are as follows: BP 113/82, heart rate 56, respiratory rate 21, and oxygen saturation 91% on room air.
Patient is alert and oriented, diaphoretic.
12-lead shows ST elevation in leads II, III and aVF, consistent with inferior STEMI.
Pain is 6 out of 10.
IV established, 18-gauge left hand.
Administered 324 mg aspirin PO, 0.4 mg nitro sublingual times two, and 50 mcg fentanyl IV.
No relief with the nitro.
Past medical history includes CHF. Takes atorvastatin, Plavix, and metformin.
Requesting a STEMI alert and cath lab activation.</t>
  </si>
  <si>
    <t xml:space="preserve">SY149</t>
  </si>
  <si>
    <t xml:space="preserve">Medic 722</t>
  </si>
  <si>
    <t xml:space="preserve">Medic 722 to Holy Cross, how do you copy?
Inbound with a 30-year-old female, chief complaint possible DKA, priority three, approximately 10 minutes out.
Found by family lethargic with a fruity odor on the breath.
Mucous membranes dry, poor skin turgor.
Vitals: pressure 122/56, pulse 106, respiratory rate 27, oxygen saturation 97% on room air, and blood glucose 612.
18-gauge IV established, 1000 mL normal saline bolus running.
Medical history of hypothyroidism, type 2 diabetes, and hypertension. Patient is on Lantus and levothyroxine. Allergic to morphine. Patient is full code.
Medic 722 clear.</t>
  </si>
  <si>
    <t xml:space="preserve">SY150</t>
  </si>
  <si>
    <t xml:space="preserve">Paramedic 720</t>
  </si>
  <si>
    <t xml:space="preserve">Paramedic 720 to Washington Adventist with a notification only.
Priority two, 25-year-old female, assault with a blunt object to the head., approximately 8 minutes out.
Loss of consciousness unknown.
Patient is a visitor from out of state, no history available, allergy status unknown.
Current vitals are as follows: pressure 132/67, rate of 100, resp rate 28 and shallow, and satting at 94%.
GCS is 15, eyes 4, verbal 5, motor 6.
Injuries include epistaxis and a laceration above the left eye.
C-collar in place, spinal motion restriction.
Patient confused but following commands.
18-gauge IV in the right AC, saline lock.
Administered 50 mcg fentanyl IV.</t>
  </si>
  <si>
    <t xml:space="preserve">SY151</t>
  </si>
  <si>
    <t xml:space="preserve">Medic 43</t>
  </si>
  <si>
    <t xml:space="preserve">Holy Cross, Medic 43.
We're en route to your facility with a 88-year-old female, chest pain. How do you copy so far?
Patient woke up this morning with chest pain and upper back pain.
Vitals on scene: blood pressure 163/112, heart rate 105, sinus tach, respiratory rate 20, and oxygen saturation 96% on room air.
12-lead was unremarkable, no ST changes.
Patient is alert and oriented times four.
We've established an 18-gauge IV right AC.
History of diabetes and hyperlipidemia. Patient is on omeprazole and atorvastatin. Allergic to latex. Patient is DNR but full treatment per POLST form, which we have with us.
We're about 10 minutes out.
If you have no further questions, we'll see you shortly.</t>
  </si>
  <si>
    <t xml:space="preserve">SY152</t>
  </si>
  <si>
    <t xml:space="preserve">Germantown, Squad 21. We're about 8 minutes out, priority two, how do you copy?</t>
  </si>
  <si>
    <t xml:space="preserve">SY153</t>
  </si>
  <si>
    <t xml:space="preserve">Fairfax, Squad 20.
We have a 65-year-old female, stroke alert, priority two.
Last known well about 45 minutes ago.
Family noticed right-sided facial droop and slurred speech.
Vitals are blood pressure 155/81, pulse 82, irregular, respirations 16, oxygen saturation 98%, and blood sugar 183.
Cincinnati stroke scale positive for arm drift and speech.
Patient is alert, oriented to person only.
No medications given.
History of diabetes, hypertension, and AFib. Takes metoprolol and warfarin.
Calling a stroke alert, requesting CT on arrival.
We're about 5 minutes out.
Squad 20 clear.</t>
  </si>
  <si>
    <t xml:space="preserve">SY154</t>
  </si>
  <si>
    <t xml:space="preserve">Medic 12</t>
  </si>
  <si>
    <t xml:space="preserve">Germantown, Medic 12.
Priority one, 74-year-old female, GSW to the left thigh. How do you copy?
Vitals: pressure 100/60, rate of 125, respirations 21, and sat of 98% on 6 liters nasal cannula.
Injuries include no exit wound found and a single wound to the left thigh with heavy bleeding, tourniquet applied.
Patient extricated by fire, c-collar applied.
Breath sounds bilateral but diminished on the right.
IV established, 22-gauge left hand.
Administered 50 mcg fentanyl IV and 4 mg ondansetron IV.
Allergic to morphine.
Requesting trauma team activation.
How do you copy?</t>
  </si>
  <si>
    <t xml:space="preserve">SY155</t>
  </si>
  <si>
    <t xml:space="preserve">Medic 16</t>
  </si>
  <si>
    <t xml:space="preserve">Sibley, Medic 16.
61-year-old male, MVC, unrestrained passenger, significant front end damage. How do you copy?
Positive loss of consciousness at scene per bystanders.
Vitals are BP 136/71, heart rate 91, respirations 26 and shallow, and satting at 98% on 15 liters non-rebreather.
GCS 8.
Injuries include chest wall tenderness, deformity to the right forearm, and a large scalp laceration with controlled bleeding.
Patient is c-spine immobilized on a backboard.
Breath sounds bilateral but diminished on the right.
We have two large bore IVs, fluids running wide open.
Medical history of hypertension, diabetes, and alcohol use. Patient is on metoprolol. No known allergies. Patient is DNR but full treatment per POLST form, which we have with us.
Requesting a trauma alert.
See you in approximately 15 minutes.
If you have no further questions, we'll see you shortly.</t>
  </si>
  <si>
    <t xml:space="preserve">SY156</t>
  </si>
  <si>
    <t xml:space="preserve">Unit 50</t>
  </si>
  <si>
    <t xml:space="preserve">White Oak, Unit 50.
We have a 79-year-old male, chest pain.
Onset was around 7 AM while at work.
Vitals on scene: pressure 102/66, rate of 87, normal sinus with PVCs, resp rate 18, and oxygen saturation 95% on 6 liters nasal cannula.
Patient is diaphoretic and pale.
12-lead shows ST elevation in leads V5, V6, I and aVL, consistent with lateral STEMI.
Pain is 6 out of 10.
We've established a 22-gauge IV left hand.
Administered 324 mg aspirin, 0.4 mg nitro sublingual times three, and 100 mcg fentanyl IV.
Some relief with the nitro.
Medical history of type 2 diabetes and hyperlipidemia. Takes aspirin 81, metoprolol, and Plavix. Allergies to morphine and shellfish.
12-lead has been transmitted to your facility; requesting cath lab.
See you in approximately 15 minutes.
If you have no further questions, we'll see you shortly.</t>
  </si>
  <si>
    <t xml:space="preserve">SY157</t>
  </si>
  <si>
    <t xml:space="preserve">White Oak, Unit 33 on the back line.
We have a 6-year-old female, febrile seizure, priority one.
Generalized seizure lasting approximately 1 minutes, witnessed by parents, resolved on our arrival.
Patient is crying and consolable now.
Vitals on scene: blood pressure 102/71, rate of 108, resp rate 32, SpO2 97% on room air, temperature 101.9, and CBG 88.
No history of seizures.
We administered 2.5 mg midazolam intranasal.
No known allergies.
Requesting a pediatric physician online for orders.
ETA 8 minutes.
Unit 33 clear.</t>
  </si>
  <si>
    <t xml:space="preserve">SY158</t>
  </si>
  <si>
    <t xml:space="preserve">Paramedic 704</t>
  </si>
  <si>
    <t xml:space="preserve">Good evening, County General, this is Paramedic 704.
We have a 78-year-old male, chest pain, priority one.
Onset was around 10 AM while at work.
Vitals are BP 165/84, heart rate 80, resp rate 23, and sat of 97% on room air.
Patient is alert and oriented, diaphoretic.
12-lead shows ST elevation in leads V1 through V4, consistent with anterior STEMI.
Pain is 6 out of 10.
22-gauge IV in the right hand, saline lock.
Administered 324 mg aspirin PO and 0.4 mg nitro sublingual times one.
Pain down to 4 out of 10 after the nitro.
Patient has a history of CHF, CAD, and hypertension. No known allergies.
12-lead has been transmitted to your facility; requesting cath lab.
We'll be at your facility in about 2 minutes.
If you have no further questions, we'll see you shortly.</t>
  </si>
  <si>
    <t xml:space="preserve">SY159</t>
  </si>
  <si>
    <t xml:space="preserve">Montgomery General, Paramedic 720 on the back line.
We're en route to your facility with a 38-year-old female, 31 weeks pregnant, active labor, priority two, approximately 8 minutes out.
Patient is 31 weeks along, prenatal care at Montgomery General.
Contractions every 4 minutes lasting about a minute, water broke an hour ago, clear fluid.
Current vitals are as follows: BP 126/65, heart rate 109, respirations 24, and oxygen saturation 97%.
Patient has the urge to push, no crowning on our exam.
We've established an 18-gauge IV right forearm.
Past medical history includes asthma, hypertension, and gestational diabetes. Home meds are albuterol inhaler and prenatal vitamins.
Requesting OB to meet us at the door.
How do you copy?</t>
  </si>
  <si>
    <t xml:space="preserve">SY160</t>
  </si>
  <si>
    <t xml:space="preserve">Paramedic 754</t>
  </si>
  <si>
    <t xml:space="preserve">Germantown, Paramedic 754 on the back line.
Inbound with a 31-year-old female, chief complaint agitated, altered behavior, priority two.
Police on scene, patient combative and yelling, history of schizophrenia, off medications.
This is an emergency petition.
Vitals on scene: blood pressure 118/92, rate of 120, respirations 22, and sat of 97% on room air.
No signs of trauma, no medical complaints.
We administered 5 mg Haldol IM and the patient is calmer, soft restraints in place.
Past medical history includes anxiety.
We're about 20 minutes out.
Paramedic 754 clear.</t>
  </si>
  <si>
    <t xml:space="preserve">SY161</t>
  </si>
  <si>
    <t xml:space="preserve">Sibley, Medic 17.
We're en route to your facility with a 85-year-old male, stroke symptoms. How do you copy so far?
Last known well 3 hours ago.
Patient has left arm drift and left facial droop, speech is slurred.
Vitals: pressure 188/116, heart rate 102, irregular, sat of 94% on room air, and sugar is 179.
Cincinnati stroke scale positive for arm drift and speech.
No trauma noted.
IV established, 22-gauge left AC.
Past medical history includes AFib and hyperlipidemia. Home meds are metoprolol and atorvastatin.
Calling a stroke alert, requesting CT on arrival.
ETA 12 minutes.
If you have no further questions, we'll see you shortly.</t>
  </si>
  <si>
    <t xml:space="preserve">SY162</t>
  </si>
  <si>
    <t xml:space="preserve">Good evening, Montgomery General, this is Medic 734.
We're en route to your facility with a 55-year-old female, cardiac arrest. How do you copy so far?
Unwitnessed arrest at a gym, no bystander CPR.
Initial rhythm V-fib, now PEA.
Current vitals are as follows: pressure 113/76, pulse 123, and SpO2 91% with BVM ventilations.
GCS is 3.
Patient remains unresponsive, GCS 3.
Patient is intubated, tube confirmed with waveform capnography.
Total down time approximately 20 minutes.
We have defibrillated times 3 and one round of epi.
18-gauge IV left AC.
ROSC achieved approximately 3 minutes ago.
No significant medical history. NKDA.
Please have the team ready.
Our ETA to your facility is approximately 8 minutes.
Any questions for Medic 734?</t>
  </si>
  <si>
    <t xml:space="preserve">SY163</t>
  </si>
  <si>
    <t xml:space="preserve">Unit 34</t>
  </si>
  <si>
    <t xml:space="preserve">Germantown, Unit 34.
Inbound with a 35-year-old female, chief complaint hyperglycemia.
Patient's home meter read high; complaining of thirst and weakness for a week.
Patient alert and oriented, no vomiting.
Vitals on scene: blood pressure 139/75, heart rate 110, sat of 97% on room air, and blood sugar 351.
We've established a 20-gauge IV right hand.
ETA 15 minutes.</t>
  </si>
  <si>
    <t xml:space="preserve">SY164</t>
  </si>
  <si>
    <t xml:space="preserve">Medic 24 to White Oak with a notification only.
64-year-old male, cardiac arrest. How do you copy?
Witnessed arrest at a restaurant, CPR started by family.
Initial rhythm PEA.
CPR in progress, mechanical CPR device in place.
Airway is an iGel.
Total down time approximately 8 minutes.
We have 2 rounds of epi.
IO established right tibia.
No medications.
See you in approximately 5 minutes.
Any questions for Medic 24?</t>
  </si>
  <si>
    <t xml:space="preserve">SY165</t>
  </si>
  <si>
    <t xml:space="preserve">Paramedic 703</t>
  </si>
  <si>
    <t xml:space="preserve">Holy Cross, Paramedic 703 on the back line.
We have a 38-year-old female, 37 weeks pregnant, active labor, priority three.
G4 P3, 37 weeks by her dates.
Contractions every 5 minutes lasting about a minute, water broke this morning.
Current vitals are as follows: pressure 118/85, pulse 88, respirations 18, and satting at 96%.
Patient has the urge to push, no crowning on our exam.
22-gauge IV in the left forearm, saline lock.
Patient has a history of asthma. No known drug allergies.
ETA 8 minutes.
If you have no further questions, we'll see you shortly.</t>
  </si>
  <si>
    <t xml:space="preserve">SY166</t>
  </si>
  <si>
    <t xml:space="preserve">Germantown, Paramedic 711 on the back line.
We're en route to your facility with a 62-year-old female, possible stroke, priority one. How do you copy so far?
Last known well about 45 minutes ago.
Sudden onset left-sided weakness and aphasia.
Vitals: BP 158/107, rate of 97, respirations 20, sat of 95% on room air, and blood sugar 181.
LAMS is 2.
Patient is alert, oriented to person only.
History of CAD and hypertension. Patient is on metformin.
Calling a stroke alert, requesting CT on arrival.</t>
  </si>
  <si>
    <t xml:space="preserve">SY167</t>
  </si>
  <si>
    <t xml:space="preserve">Medic 747</t>
  </si>
  <si>
    <t xml:space="preserve">Good afternoon, Washington Adventist, this is Medic 747.
22-year-old male, ground level fall on blood thinners., approximately 15 minutes out.
Loss of consciousness unknown.
Vitals on scene: blood pressure 113/79, rate of 96, respirations 25 and labored, and sat of 96% on 4 liters nasal cannula.
GCS 14: 4, 4, 6.
Injuries include pelvic instability, a laceration to the forehead, and left wrist deformity.
Patient is c-spine immobilized on a backboard.
Pupils equal and reactive.
22-gauge IV in the left AC, saline lock.
Administered 4 mg ondansetron IV.
Patient has a history of hypertension. Patient is on metformin and lisinopril.
Requesting trauma team activation.
How do you copy?</t>
  </si>
  <si>
    <t xml:space="preserve">SY168</t>
  </si>
  <si>
    <t xml:space="preserve">Good evening, Washington Adventist, this is Squad 12.
We have a 4-year-old female, febrile seizure, priority one.
Generalized seizure lasting approximately 5 minutes, witnessed by parents, resolved on our arrival.
Patient is postictal but improving.
Vitals on scene: blood pressure 98/53, pulse 155, respirations 21, oxygen saturation 96% on room air, temperature 102.8, and CBG 82.
One prior febrile seizure.
No known allergies.
We'll be at your facility in about 4 minutes.
Squad 12 clear.</t>
  </si>
  <si>
    <t xml:space="preserve">SY169</t>
  </si>
  <si>
    <t xml:space="preserve">Medic 36</t>
  </si>
  <si>
    <t xml:space="preserve">Medic 36 to County General with a priority traffic.
We're en route to your facility with a 61-year-old female, GSW to the left thigh, priority two, approximately 2 minutes out.
Vitals: blood pressure 105/62, heart rate 137, respirations 29, and satting at 89%.
GCS 14: 4, 4, 6.
Injuries include a single wound to the left thigh with heavy bleeding, tourniquet applied.
Patient is c-spine immobilized on a backboard.
Patient confused but following commands.
Administered 4 mg ondansetron IV.
Past medical history includes AFib and hypertension. No known drug allergies.
Requesting a trauma alert.
How do you copy?</t>
  </si>
  <si>
    <t xml:space="preserve">SY170</t>
  </si>
  <si>
    <t xml:space="preserve">Unit 32</t>
  </si>
  <si>
    <t xml:space="preserve">Suburban, Unit 32. Is a physician available for orders?</t>
  </si>
  <si>
    <t xml:space="preserve">SY171</t>
  </si>
  <si>
    <t xml:space="preserve">abdominal pain</t>
  </si>
  <si>
    <t xml:space="preserve">Good evening, Suburban, this is Medic 756.
We have a 52-year-old female, abdominal pain, approximately 20 minutes out.
Right upper quadrant abdominal pain for twelve hours, with fever.
Vitals on scene: pressure 148/67, pulse 88, and SpO2 97% on room air.
Pain is 9 out of 10.
Allergies to morphine and amoxicillin.
Any questions for Medic 756?</t>
  </si>
  <si>
    <t xml:space="preserve">SY172</t>
  </si>
  <si>
    <t xml:space="preserve">Ambulance 707 to Memorial, how do you copy?
We have a 75-year-old male, chest pain, approximately 10 minutes out.
Patient was at home when the pain started approximately 30 minutes ago.
Current vitals are as follows: BP 152/71, rate of 68 and irregular, and sat of 96% on room air.
Patient is diaphoretic and pale.
12-lead shows ST elevation in leads V5, V6, I and aVL, consistent with lateral STEMI.
Administered 324 mg aspirin chewed, 0.4 mg nitro sublingual times two, and 25 mcg fentanyl IV.
No relief with the nitro.
No significant medical history.
12-lead has been transmitted to your facility; requesting cath lab.
Ambulance 707 clear.</t>
  </si>
  <si>
    <t xml:space="preserve">SY173</t>
  </si>
  <si>
    <t xml:space="preserve">Good afternoon, White Oak, this is Medic 720.
We're en route to your facility with a 59-year-old female, cardiac arrest, approximately 3 minutes out.
Unwitnessed arrest at a gym, no bystander CPR.
Initial rhythm asystole.
CPR in progress, mechanical CPR device in place.
Airway is an iGel.
Total down time approximately 30 minutes.
We have 3 rounds of epi.
IO established right tibia.
Patient has a history of diabetes, CAD, and COPD. NKDA. Patient is DNR but full treatment per POLST form, which we have with us.
Please have the team ready.
Any questions for Medic 720?</t>
  </si>
  <si>
    <t xml:space="preserve">SY174</t>
  </si>
  <si>
    <t xml:space="preserve">allergic reaction, anaphylaxis</t>
  </si>
  <si>
    <t xml:space="preserve">Washington Adventist online, this is Squad 19.
Priority two, 76-year-old female, anaphylaxis. How do you copy?
Hives, lip swelling and wheezing after a bee sting approximately 15 minutes ago.
Vitals are blood pressure 96/65, pulse 105, resp rate 15, and sat of 95% on room air.
Hives to the trunk and arms.
We administered 0.3 mg epi IM and 50 mg Benadryl IV, swelling improving.
Medical history of hypertension and asthma. Takes lisinopril. Allergic to contrast dye.
We're about 2 minutes out.</t>
  </si>
  <si>
    <t xml:space="preserve">SY175</t>
  </si>
  <si>
    <t xml:space="preserve">Paramedic 747</t>
  </si>
  <si>
    <t xml:space="preserve">White Oak, Paramedic 747 on the back line.
24-year-old female, 26 weeks pregnant, postpartum hemorrhage. How do you copy?
G5 P4, 26 weeks by her dates.
Delivered a viable female infant at the residence approximately 20 minutes ago, now with heavy bleeding, placenta not yet delivered.
Current vitals are as follows: blood pressure 90/58, heart rate 128, respirations 22, and oxygen saturation 96% on 2 liters nasal cannula.
Fundal massage in progress, bleeding estimated over 500 mL.
Infant is pink and crying, with the mother.
20-gauge IV in the left hand, saline lock.
500 mL bolus running.
Allergies to sulfa and contrast dye.
Requesting labor and delivery be notified.
We're about 12 minutes out.
If you have no further questions, we'll see you shortly.</t>
  </si>
  <si>
    <t xml:space="preserve">SY176</t>
  </si>
  <si>
    <t xml:space="preserve">Medic 736</t>
  </si>
  <si>
    <t xml:space="preserve">Shady Grove, Medic 736 on the back line.
Priority one, 41-year-old female, 28 weeks pregnant, active labor. How do you copy?
G5 P4, 28 weeks by her dates.
Contractions every 5 minutes lasting about a minute, water intact.
Vitals are pressure 139/74, pulse 105, and sat of 100% on 2 liters nasal cannula.
No crowning, no urge to push.
NKDA.
Requesting OB to meet us at the door.
See you in approximately 20 minutes.</t>
  </si>
  <si>
    <t xml:space="preserve">SY177</t>
  </si>
  <si>
    <t xml:space="preserve">Medic 750</t>
  </si>
  <si>
    <t xml:space="preserve">Suburban online, this is Medic 750.
We have a 40-year-old male, acute psychosis, priority two, approximately 7 minutes out.
Paranoid, states people are following, calm with us now.
Police are following us in.
Vitals: pressure 148/69, heart rate 106, respirations 18, and SpO2 96% on room air.
Pupils equal, speech rapid.
Allergic to ibuprofen.</t>
  </si>
  <si>
    <t xml:space="preserve">SY178</t>
  </si>
  <si>
    <t xml:space="preserve">Ambulance 757</t>
  </si>
  <si>
    <t xml:space="preserve">Riverside, Ambulance 757. Updated ETA 12 minutes.</t>
  </si>
  <si>
    <t xml:space="preserve">SY179</t>
  </si>
  <si>
    <t xml:space="preserve">Unit 39 to Germantown with a notification only.
We're en route to your facility with a 74-year-old male, possible stroke, priority one. How do you copy so far?
Last known well 9:00 this morning.
Family noticed left-sided facial droop and slurred speech.
Current vitals are as follows: pressure 190/93, rate of 88, respiratory rate 15, oxygen saturation 97% on 6 liters nasal cannula, and blood sugar 177.
LAMS is 5.
No trauma noted.
22-gauge IV in the right forearm, saline lock.
Patient has a history of AFib. NKDA.
Calling a stroke alert, requesting CT on arrival.
How do you copy?</t>
  </si>
  <si>
    <t xml:space="preserve">SY180</t>
  </si>
  <si>
    <t xml:space="preserve">Germantown, Paramedic 722 on the back line.
Priority two, 48-year-old male, chest pain. How do you copy?
Patient was sitting on the couch around 8 PM when he began to feel substernal chest pain radiating to the left arm.
Vitals on scene: pressure 190/76, heart rate 92 and irregular, resp rate 19, and SpO2 97% on room air.
12-lead was unremarkable, no ST changes.
Lungs clear bilaterally.
We administered 400 mcg nitro sublingual.
History of AFib and hypertension. Home meds are metoprolol, atorvastatin, and Eliquis.
Notification only, no orders needed.
If you have no further questions, we'll see you shortly.</t>
  </si>
  <si>
    <t xml:space="preserve">SY181</t>
  </si>
  <si>
    <t xml:space="preserve">Holy Cross, Paramedic 704. Stroke alert, 50-year-old female. How do you copy?</t>
  </si>
  <si>
    <t xml:space="preserve">SY182</t>
  </si>
  <si>
    <t xml:space="preserve">Fairfax, Squad 6 on the back line.
Priority two, 67-year-old male, diabetic emergency, low blood sugar. How do you copy?
Family found the patient unresponsive, initial blood glucose 39.
Vitals: BP 119/80, pulse 121, respiratory rate 19, SpO2 99% on room air, and CBG 157.
We administered 125 mL D10 IV, repeat glucose is 157 and the patient is now alert and oriented.
We're about 12 minutes out.
How do you copy?</t>
  </si>
  <si>
    <t xml:space="preserve">SY183</t>
  </si>
  <si>
    <t xml:space="preserve">Unit 26</t>
  </si>
  <si>
    <t xml:space="preserve">White Oak, Unit 26.
We're en route to your facility with a 6-month-old male, allergic reaction, priority two. How do you copy so far?
Hives and facial swelling after eating peanuts about 30 minutes ago.
Some wheezing on arrival, now improved.
Vitals are pressure 104/59, heart rate 123, respirations 30, and SpO2 97% on blow-by oxygen.
Hives to the face and trunk.
We administered 0.15 mg epi IM and 25 mg Benadryl IV.
Known allergy to shellfish.
Requesting a pediatric physician online for orders.
See you in approximately 8 minutes.
Any questions for Unit 26?</t>
  </si>
  <si>
    <t xml:space="preserve">SY184</t>
  </si>
  <si>
    <t xml:space="preserve">Paramedic 702</t>
  </si>
  <si>
    <t xml:space="preserve">stab</t>
  </si>
  <si>
    <t xml:space="preserve">Shady Grove online, this is Paramedic 702.
Priority one, 17-year-old female, stab wound to the right upper quadrant. How do you copy?
Loss of consciousness unknown.
Current vitals are as follows: BP 106/70, heart rate 131, and satting at 95% on 15 liters non-rebreather.
GCS 12: 3, 3, 6.
Injuries include abdominal guarding and a two inch wound to the right upper quadrant, bleeding controlled with pressure.
Patient confused but following commands.
IV established, 18-gauge right hand.
Patient has a history of AFib, diabetes, and seizure disorder. Patient is on lisinopril and warfarin. Allergic to morphine. Patient is a DNR.
Requesting trauma team activation.
ETA 7 minutes.
Paramedic 702 clear.</t>
  </si>
  <si>
    <t xml:space="preserve">SY185</t>
  </si>
  <si>
    <t xml:space="preserve">Ambulance 738</t>
  </si>
  <si>
    <t xml:space="preserve">Riverside, Ambulance 738.
25-year-old male, AFib with RVR. How do you copy?
Palpitations and lightheadedness since waking, patient has a history of AFib.
Current vitals are as follows: blood pressure 146/67, rate of 145, AFib with RVR, resp rate 16, and satting at 95%.
Patient alert and oriented, mildly short of breath.
Patient has a history of hypertension and CHF. Takes Eliquis, diltiazem, and levothyroxine.
ETA 2 minutes.
How do you copy?</t>
  </si>
  <si>
    <t xml:space="preserve">SY186</t>
  </si>
  <si>
    <t xml:space="preserve">Squad 17 to Washington Adventist, how do you copy?
Inbound with a 89-year-old male, chief complaint altered mental status and fever, priority two.
Patient is from an assisted living facility.
Patient was found lethargic and hypotensive on our arrival.
Vitals are pressure 81/53, pulse 112, oxygen saturation 91% on room air, and temperature 100.9.
GCS 11: 3, 3, 5.
Skin is hot, dry and mottled at the knees.
Suspected respiratory source, coarse rhonchi in the bilateral bases, productive cough.
Lactate is 3.2.
Patient has a history of COPD and chronic kidney disease. Takes Eliquis and donepezil. Allergic to shellfish.
We're calling a sepsis alert.
See you in approximately 2 minutes.</t>
  </si>
  <si>
    <t xml:space="preserve">SY187</t>
  </si>
  <si>
    <t xml:space="preserve">Unit 15</t>
  </si>
  <si>
    <t xml:space="preserve">County General, Unit 15 on the back line.
We're en route to your facility with a 83-year-old male, ground level fall on blood thinners. How do you copy so far?
Vitals on scene: BP 112/86, rate of 74, respiratory rate 28, and sat of 91% on room air.
GCS is 15, eyes 4, verbal 5, motor 6.
Injuries include left wrist deformity.
C-collar in place, spinal motion restriction.
Moving all extremities.
Two large bore IVs established, running wide open.
Any questions for Unit 15?</t>
  </si>
  <si>
    <t xml:space="preserve">SY188</t>
  </si>
  <si>
    <t xml:space="preserve">Medic 24 to Washington Adventist with a patient report.
Inbound with a 86-year-old male, chief complaint high-speed MVC with rollover, restrained driver.
Patient is a visitor from out of state, no history available, allergy status unknown.
Vitals on scene: blood pressure 133/70, rate of 73, resp rate 25 and labored, and oxygen saturation 96%.
GCS 14: 4, 4, 6.
Injuries include a large scalp laceration with controlled bleeding and left femur deformity.
Patient extricated by fire, c-collar applied.
Breath sounds bilateral but diminished on the right.
We have two large bore IVs, fluids running wide open.
No medications administered.
ETA 5 minutes.
How do you copy?</t>
  </si>
  <si>
    <t xml:space="preserve">SY189</t>
  </si>
  <si>
    <t xml:space="preserve">Paramedic 707</t>
  </si>
  <si>
    <t xml:space="preserve">Good afternoon, Fairfax, this is Paramedic 707.
Inbound with a 56-year-old male, chief complaint suicidal ideation, priority three.
Patient called a crisis line stating a plan to overdose; denies having taken anything.
Patient is voluntary.
Current vitals are as follows: BP 134/71, pulse 109, resp rate 23, and satting at 98% on room air.
Patient is alert and oriented times four, cooperative.
Our ETA to your facility is approximately 3 minutes.
Paramedic 707 clear.</t>
  </si>
  <si>
    <t xml:space="preserve">SY190</t>
  </si>
  <si>
    <t xml:space="preserve">Montgomery General, Unit 32 on the back line.
Priority one, 38-year-old female, GSW to the left thigh. How do you copy?
Loss of consciousness unknown.
No medical history available.
Vitals on scene: BP 95/64, rate of 116, respiratory rate 24, and oxygen saturation 89% on 15 liters non-rebreather.
GCS is 8, eyes 2, verbal 2, motor 4.
Injuries include no exit wound found.
Pupils equal and reactive.
We have two large bore IVs, fluids running wide open.
Administered 50 mcg fentanyl IV.
Requesting a trauma alert.
We'll be at your facility in about 4 minutes.
If you have no further questions, we'll see you shortly.</t>
  </si>
  <si>
    <t xml:space="preserve">SY191</t>
  </si>
  <si>
    <t xml:space="preserve">Medic 732</t>
  </si>
  <si>
    <t xml:space="preserve">Memorial online, this is Medic 732.
We're en route to your facility with a 61-year-old male, chest pain, priority two. How do you copy so far?
Patient woke up this morning with chest pain and shortness of breath.
Vitals on scene: BP 170/106, heart rate 105, and SpO2 99%.
12-lead is unremarkable.
Currently complaining of 5 out of 10 chest pain.
We've established a 22-gauge IV right hand.
We administered 400 mcg nitro sublingual.
Past medical history includes GERD. Patient is on metoprolol. No known allergies. Family states patient is a full code.
We'll be at your facility in about 8 minutes.
Medic 732 clear.</t>
  </si>
  <si>
    <t xml:space="preserve">SY192</t>
  </si>
  <si>
    <t xml:space="preserve">Ambulance 719</t>
  </si>
  <si>
    <t xml:space="preserve">Montgomery General, Ambulance 719. Can you repeat your unit and the chief complaint?</t>
  </si>
  <si>
    <t xml:space="preserve">SY193</t>
  </si>
  <si>
    <t xml:space="preserve">Medic 17 to Suburban with a notification only.
We have a 35-year-old male, diabetic emergency, low blood sugar, priority three.
Family found the patient combative, initial blood glucose 34.
Current vitals are as follows: pressure 120/82, rate of 88, respirations 19, sat of 98% on room air, and blood glucose 101.
We administered 15 grams oral glucose PO, repeat glucose is 101 and the patient is now alert and oriented.
History of type 2 diabetes. Takes metformin, lisinopril, and insulin.
Our ETA to your facility is approximately 5 minutes.
If you have no further questions, we'll see you shortly.</t>
  </si>
  <si>
    <t xml:space="preserve">SY194</t>
  </si>
  <si>
    <t xml:space="preserve">Medic 742</t>
  </si>
  <si>
    <t xml:space="preserve">Suburban, Medic 742 on the back line.
We're en route to your facility with a 46-year-old female, syncopal episode, priority three. How do you copy so far?
Patient became dizzy and passed out after standing up, witnessed by spouse.
Vitals are blood pressure 142/75, heart rate 141, resp rate 19, SpO2 98% on 4 liters nasal cannula, and sugar is 93.
12-lead shows sinus bradycardia, no ST changes.
18-gauge IV in the left hand, saline lock.
Allergic to codeine.
If you have no further questions, we'll see you shortly.</t>
  </si>
  <si>
    <t xml:space="preserve">SY195</t>
  </si>
  <si>
    <t xml:space="preserve">Riverside, Paramedic 703 on the back line.
We're en route to your facility with a 65-year-old female, agitated, altered behavior, priority two, approximately 6 minutes out.
Patient agitated in a store, no weapon, police assisted.
This is an emergency petition.
Vitals: pressure 133/95, rate of 130, respiratory rate 23, and SpO2 97% on room air.
Patient is alert and oriented times four, cooperative.
Patient has a history of opioid use.
Any questions for Paramedic 703?</t>
  </si>
  <si>
    <t xml:space="preserve">SY196</t>
  </si>
  <si>
    <t xml:space="preserve">Medic 7</t>
  </si>
  <si>
    <t xml:space="preserve">Suburban online, this is Medic 7.
We have a 36-year-old female, chest pain, priority three.
Patient woke up this morning with chest pain and upper back pain.
Vitals: blood pressure 178/74, pulse 107, sinus tach, and SpO2 97% on 2 liters nasal cannula.
12-lead was unremarkable, no ST changes.
Lungs clear bilaterally.
22-gauge IV in the right forearm, saline lock.
Past medical history includes AFib, CAD, and diabetes.
Notification only, no orders needed.</t>
  </si>
  <si>
    <t xml:space="preserve">SY197</t>
  </si>
  <si>
    <t xml:space="preserve">Montgomery General, Medic 24.
Inbound with a 65-year-old female, chief complaint possible stroke, priority two, approximately 20 minutes out.
Last known well last night at bedtime, found this way this morning.
Patient has right arm drift and right facial droop, speech is slurred.
Vitals on scene: blood pressure 176/117, pulse 102, resp rate 14, sat of 95% on 2 liters nasal cannula, and CBG 209.
LAMS is 3.
Pupils equal and reactive.
We've established a 20-gauge IV right AC.
No medications given.
No known drug allergies.
Requesting stroke team activation.</t>
  </si>
  <si>
    <t xml:space="preserve">SY198</t>
  </si>
  <si>
    <t xml:space="preserve">Ambulance 743</t>
  </si>
  <si>
    <t xml:space="preserve">Shady Grove, Ambulance 743.
We have a 63-year-old male, GSW to the left thigh, priority one.
No loss of consciousness.
Patient is a visitor from out of state, no history available, allergy status unknown.
Current vitals are as follows: pressure 97/67, rate of 120, respirations 26 and shallow, and sat of 89% on 15 liters non-rebreather.
GCS of 12.
Injuries include a single wound to the left thigh with heavy bleeding, tourniquet applied.
Pelvis stable.
Two large bore IVs established, running wide open.
Administered 50 mcg fentanyl IV.
Requesting trauma team activation.
We'll be at your facility in about 20 minutes.</t>
  </si>
  <si>
    <t xml:space="preserve">SY199</t>
  </si>
  <si>
    <t xml:space="preserve">Shady Grove online, this is Ambulance 752.
Priority one, 49-year-old male, CPR in progress., approximately 2 minutes out.
Unwitnessed arrest in a parking lot, CPR started by family.
Initial rhythm V-fib.
CPR continues en route.
Patient is intubated, tube confirmed with waveform capnography.
Total down time approximately 12 minutes.
We have defibrillated times 3, one round of epi, and 300 mg amiodarone IV.
IO established right tibia.
Patient has a history of ESRD on dialysis. No known allergies.
Requesting the resuscitation bay.
Ambulance 752 clear.</t>
  </si>
  <si>
    <t xml:space="preserve">SY200</t>
  </si>
  <si>
    <t xml:space="preserve">Medic 704</t>
  </si>
  <si>
    <t xml:space="preserve">Riverside, Medic 704.
We're en route to your facility with a 84-year-old male, chest pain, priority two. How do you copy so far?
Pain started about two hours ago, left-sided, radiating to the back.
Vitals on scene: pressure 103/70, heart rate 107, sinus tach, and satting at 98% on room air.
Patient is alert and oriented, diaphoretic.
12-lead shows ST elevation in leads V5, V6, I and aVL, consistent with lateral STEMI.
Pain is 6 out of 10.
18-gauge IV in the right AC, saline lock.
Administered 81 mg times four aspirin chewed and 0.4 mg nitro sublingual times two.
Pain down to 4 out of 10 after the nitro.
No known drug allergies.
Requesting cath lab activation.
We'll be at your facility in about 6 minutes.
Any questions for Medic 704?</t>
  </si>
  <si>
    <t xml:space="preserve">total</t>
  </si>
  <si>
    <t xml:space="preserve">Counts are formulas over the 'Generated scripts' sheet; splits.json: seed 1, stratified by family, 140 / 30 / 30.</t>
  </si>
  <si>
    <t xml:space="preserve">call set</t>
  </si>
  <si>
    <t xml:space="preserve">feed</t>
  </si>
  <si>
    <t xml:space="preserve">bursts</t>
  </si>
  <si>
    <t xml:space="preserve">audio s</t>
  </si>
  <si>
    <t xml:space="preserve">first burst UTC</t>
  </si>
  <si>
    <t xml:space="preserve">complaint keywords</t>
  </si>
  <si>
    <t xml:space="preserve">reference transcript</t>
  </si>
  <si>
    <t xml:space="preserve">gold report</t>
  </si>
  <si>
    <t xml:space="preserve">appears truncated</t>
  </si>
  <si>
    <t xml:space="preserve">segments</t>
  </si>
  <si>
    <t xml:space="preserve">CS001</t>
  </si>
  <si>
    <t xml:space="preserve">4390</t>
  </si>
  <si>
    <t xml:space="preserve">2026-10-23 21:41:07</t>
  </si>
  <si>
    <t xml:space="preserve">yes (3 bursts)</t>
  </si>
  <si>
    <t xml:space="preserve">yes</t>
  </si>
  <si>
    <t xml:space="preserve">end</t>
  </si>
  <si>
    <t xml:space="preserve">S044_01, S045_01, S046_01</t>
  </si>
  <si>
    <t xml:space="preserve">CS002</t>
  </si>
  <si>
    <t xml:space="preserve">2026-10-23 22:26:18</t>
  </si>
  <si>
    <t xml:space="preserve">respiratory</t>
  </si>
  <si>
    <t xml:space="preserve">no</t>
  </si>
  <si>
    <t xml:space="preserve">S042_01, S043_01</t>
  </si>
  <si>
    <t xml:space="preserve">CS003</t>
  </si>
  <si>
    <t xml:space="preserve">2026-10-24 00:52:41</t>
  </si>
  <si>
    <t xml:space="preserve">start</t>
  </si>
  <si>
    <t xml:space="preserve">S037_01, S039_01, S041_01</t>
  </si>
  <si>
    <t xml:space="preserve">CS004</t>
  </si>
  <si>
    <t xml:space="preserve">4395</t>
  </si>
  <si>
    <t xml:space="preserve">2026-10-24 00:52:46</t>
  </si>
  <si>
    <t xml:space="preserve">S038_01, S040_01</t>
  </si>
  <si>
    <t xml:space="preserve">CS005</t>
  </si>
  <si>
    <t xml:space="preserve">2026-10-24 01:18:02</t>
  </si>
  <si>
    <t xml:space="preserve">S033_01, S034_01, S035_01, S036_01</t>
  </si>
  <si>
    <t xml:space="preserve">CS006</t>
  </si>
  <si>
    <t xml:space="preserve">2026-10-24 01:28:05</t>
  </si>
  <si>
    <t xml:space="preserve">S027_01, S028_01, S029_01, S030_01, S031_01, S032_01</t>
  </si>
  <si>
    <t xml:space="preserve">CS007</t>
  </si>
  <si>
    <t xml:space="preserve">2026-10-24 02:10:46</t>
  </si>
  <si>
    <t xml:space="preserve">arrhythmia</t>
  </si>
  <si>
    <t xml:space="preserve">S026_01</t>
  </si>
  <si>
    <t xml:space="preserve">CS008</t>
  </si>
  <si>
    <t xml:space="preserve">2026-10-24 02:30:46</t>
  </si>
  <si>
    <t xml:space="preserve">yes (1 bursts)</t>
  </si>
  <si>
    <t xml:space="preserve">S025_01</t>
  </si>
  <si>
    <t xml:space="preserve">CS009</t>
  </si>
  <si>
    <t xml:space="preserve">2026-10-24 02:42:16</t>
  </si>
  <si>
    <t xml:space="preserve">refusal, trauma</t>
  </si>
  <si>
    <t xml:space="preserve">start+end</t>
  </si>
  <si>
    <t xml:space="preserve">S022_01</t>
  </si>
  <si>
    <t xml:space="preserve">CS010</t>
  </si>
  <si>
    <t xml:space="preserve">2026-10-24 03:20:01</t>
  </si>
  <si>
    <t xml:space="preserve">altered/glucose, stroke</t>
  </si>
  <si>
    <t xml:space="preserve">S020_01, S021_01</t>
  </si>
  <si>
    <t xml:space="preserve">CS011</t>
  </si>
  <si>
    <t xml:space="preserve">2026-10-24 03:47:58</t>
  </si>
  <si>
    <t xml:space="preserve">S019_01</t>
  </si>
  <si>
    <t xml:space="preserve">CS012</t>
  </si>
  <si>
    <t xml:space="preserve">2026-10-24 04:19:24</t>
  </si>
  <si>
    <t xml:space="preserve">overdose</t>
  </si>
  <si>
    <t xml:space="preserve">S018_01</t>
  </si>
  <si>
    <t xml:space="preserve">CS013</t>
  </si>
  <si>
    <t xml:space="preserve">2026-10-24 04:23:17</t>
  </si>
  <si>
    <t xml:space="preserve">S016_01, S017_01</t>
  </si>
  <si>
    <t xml:space="preserve">CS014</t>
  </si>
  <si>
    <t xml:space="preserve">2026-10-24 07:41:02</t>
  </si>
  <si>
    <t xml:space="preserve">altered/glucose, respiratory</t>
  </si>
  <si>
    <t xml:space="preserve">yes (5 bursts)</t>
  </si>
  <si>
    <t xml:space="preserve">S054_01, S055_01, S013_01, S014_01, S015_01</t>
  </si>
  <si>
    <t xml:space="preserve">CS016</t>
  </si>
  <si>
    <t xml:space="preserve">2026-10-24 12:33:02</t>
  </si>
  <si>
    <t xml:space="preserve">S011_01, S012_01</t>
  </si>
  <si>
    <t xml:space="preserve">CS017</t>
  </si>
  <si>
    <t xml:space="preserve">2026-10-24 13:14:29</t>
  </si>
  <si>
    <t xml:space="preserve">altered/glucose, chest pain</t>
  </si>
  <si>
    <t xml:space="preserve">S010_01</t>
  </si>
  <si>
    <t xml:space="preserve">CS018</t>
  </si>
  <si>
    <t xml:space="preserve">2026-10-24 13:45:18</t>
  </si>
  <si>
    <t xml:space="preserve">S009_01</t>
  </si>
  <si>
    <t xml:space="preserve">CS019</t>
  </si>
  <si>
    <t xml:space="preserve">2026-10-24 13:46:45</t>
  </si>
  <si>
    <t xml:space="preserve">S008_01</t>
  </si>
  <si>
    <t xml:space="preserve">CS020</t>
  </si>
  <si>
    <t xml:space="preserve">2026-10-24 14:19:14</t>
  </si>
  <si>
    <t xml:space="preserve">arrhythmia, chest pain</t>
  </si>
  <si>
    <t xml:space="preserve">S007_01</t>
  </si>
  <si>
    <t xml:space="preserve">CS021</t>
  </si>
  <si>
    <t xml:space="preserve">2026-10-24 16:38:32</t>
  </si>
  <si>
    <t xml:space="preserve">altered/glucose, refusal</t>
  </si>
  <si>
    <t xml:space="preserve">S047_01, S049_01, S050_01, S051_01, S052_01, S053_01, S002_01</t>
  </si>
  <si>
    <t xml:space="preserve">CS022</t>
  </si>
  <si>
    <t xml:space="preserve">2026-10-24 16:38:37</t>
  </si>
  <si>
    <t xml:space="preserve">S048_01</t>
  </si>
  <si>
    <t xml:space="preserve">CS023</t>
  </si>
  <si>
    <t xml:space="preserve">2026-10-24 16:42:45</t>
  </si>
  <si>
    <t xml:space="preserve">stroke, trauma</t>
  </si>
  <si>
    <t xml:space="preserve">S001_01, S005_01, S003_01</t>
  </si>
  <si>
    <t xml:space="preserve">Per-burst transcripts (whisper) are in ~/callsets/&lt;CS&gt;/&lt;segment&gt;.txt; human references only for the three marked yes; gold reports in ~/labels/gold. Feed 4390 is the county EMS channel; 4430 a second feed joined on review.</t>
  </si>
  <si>
    <t xml:space="preserve">case</t>
  </si>
  <si>
    <t xml:space="preserve">title</t>
  </si>
  <si>
    <t xml:space="preserve">total weight</t>
  </si>
  <si>
    <t xml:space="preserve">quick</t>
  </si>
  <si>
    <t xml:space="preserve">Quick demo (short)</t>
  </si>
  <si>
    <t xml:space="preserve">Medic 21 to General Hospital.
We are inbound with a 45-year-old male found down.
GCS is 14. History of seizures.
Vitals: BP 140 over 90, heart rate 110, SpO2 98 percent.
We have established an IV and given 5 milligrams of Versed.
ETA is 5 minutes.</t>
  </si>
  <si>
    <t xml:space="preserve">Unit 41 to Memorial Hospital, how do you copy? 
We're inbound with a 67-year-old male, chief complaint chest pain radiating to left arm. 
Patient was at home watching TV when symptoms started approximately 45 minutes ago. 
Wife called 911 when he became diaphoretic and short of breath.
Vitals on scene: BP 158/92, heart rate 98 and irregular, respiratory rate 22, 
SpO2 94% on room air, now 98% on 4 liters nasal cannula.
12-lead shows ST elevation in leads V1 through V4, consistent with anterior STEMI.
Patient has history of hypertension and type 2 diabetes. Takes metformin and lisinopril daily. No known allergies.
We've established an 18-gauge IV left AC, administered 324mg aspirin chewed, and 0.4mg sublingual nitro times two with some relief. Currently running a saline lock.
Patient is alert and oriented, pain currently 6 out of 10, down from 9 out of 10.
Our ETA to your facility is approximately 8 minutes. Requesting cath lab activation.
Unit 41 clear.</t>
  </si>
  <si>
    <t xml:space="preserve">Trauma</t>
  </si>
  <si>
    <t xml:space="preserve">Medic 7 to County General trauma, priority traffic.
Inbound with a 34-year-old female, restrained driver, high-speed MVC with rollover. 
Positive loss of consciousness at scene, approximately 2 minutes per bystanders.
Patient was extricated by fire, c-spine immobilized, on backboard.
Vitals: BP 88/60, heart rate 124, respiratory rate 28 and shallow, SpO2 91% on 15 liters non-rebreather.
GCS is 13, eyes 3, verbal 4, motor 6. Pupils equal and reactive. 
Patient confused but following commands.
Visible injuries include a large scalp laceration with controlled bleeding, deformity to right forearm likely fracture, and she's guarding her abdomen 
with bruising across lower quadrants consistent with seatbelt sign.
Two large bore IVs established, running wide open. No medications administered. 
Bilateral breath sounds present but diminished on right.
Patient is a visitor from out of state, no medical history available, no medications known, allergy status unknown.
ETA 6 minutes, requesting trauma activation.</t>
  </si>
  <si>
    <t xml:space="preserve">Sepsis</t>
  </si>
  <si>
    <t xml:space="preserve">Squad 12 to Riverside Emergency.
We have an 82-year-old female from Sunrise Nursing Facility, 
chief complaint altered mental status and fever.
Per nursing staff, patient was in her usual state of dementia baseline until this morning when she became increasingly confused, not recognizing staff, and had a temperature of 102.4.
Vitals: BP 92/58, heart rate 108, respiratory rate 24, SpO2 93% on 2 liters, blood glucose 186.
Patient is oriented to name only, not following commands consistently. 
Skin is warm and flushed. Lungs have coarse rhonchi bilateral bases.
History per facility transfer sheet: Alzheimer's dementia, CHF, atrial fibrillation, chronic kidney disease stage 3. 
Medications include metoprolol, furosemide, donepezil, and eliquis. 
Allergies to penicillin and sulfa drugs.
She has a foley catheter in place, urine appears cloudy.
IV established 20-gauge right hand, 500ml bolus initiated. No other interventions.
Patient is DNR but full treatment per POLST form, which we have with us.
ETA 12 minutes.</t>
  </si>
  <si>
    <t xml:space="preserve">Hand-written by the project on 2026-10-24; gold in tests/gold/&lt;case&gt;.json; scored by scripts/benchmark.py. These four were the first 'golden traces'; the generated scripts and real call sets came later.</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</si>
</sst>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DDE6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DDE6F2"/>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4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23.85" hidden="false" customHeight="false" outlineLevel="0" collapsed="false">
      <c r="A4" s="2" t="s">
        <v>2</v>
      </c>
    </row>
    <row r="5" customFormat="false" ht="23.85" hidden="false" customHeight="false" outlineLevel="0" collapsed="false">
      <c r="A5" s="2" t="s">
        <v>3</v>
      </c>
    </row>
    <row r="6" customFormat="false" ht="35.0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15" hidden="false" customHeight="false" outlineLevel="0" collapsed="false">
      <c r="A9" s="2"/>
    </row>
    <row r="10" customFormat="false" ht="23.85" hidden="false" customHeight="false" outlineLevel="0" collapsed="false">
      <c r="A10" s="2" t="s">
        <v>6</v>
      </c>
    </row>
    <row r="11" customFormat="false" ht="23.85" hidden="false" customHeight="false" outlineLevel="0" collapsed="false">
      <c r="A11" s="2"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9765625" defaultRowHeight="15"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4" min="3" style="0" width="14"/>
    <col collapsed="false" customWidth="true" hidden="false" outlineLevel="0" max="6" min="5" style="0" width="9"/>
    <col collapsed="false" customWidth="true" hidden="false" outlineLevel="0" max="7" min="7" style="0" width="7"/>
    <col collapsed="false" customWidth="true" hidden="false" outlineLevel="0" max="8" min="8" style="0" width="12"/>
    <col collapsed="false" customWidth="true" hidden="false" outlineLevel="0" max="9" min="9" style="0" width="16"/>
    <col collapsed="false" customWidth="true" hidden="false" outlineLevel="0" max="10" min="10" style="0" width="22"/>
    <col collapsed="false" customWidth="true" hidden="false" outlineLevel="0" max="11" min="11" style="0" width="8"/>
    <col collapsed="false" customWidth="true" hidden="false" outlineLevel="0" max="12" min="12" style="0" width="10"/>
    <col collapsed="false" customWidth="true" hidden="false" outlineLevel="0" max="13" min="13" style="0" width="110"/>
  </cols>
  <sheetData>
    <row r="1" customFormat="false" ht="35.05" hidden="false" customHeight="false" outlineLevel="0" collapsed="false">
      <c r="A1" s="4" t="s">
        <v>8</v>
      </c>
      <c r="B1" s="4" t="s">
        <v>9</v>
      </c>
      <c r="C1" s="4" t="s">
        <v>10</v>
      </c>
      <c r="D1" s="4" t="s">
        <v>11</v>
      </c>
      <c r="E1" s="4" t="s">
        <v>12</v>
      </c>
      <c r="F1" s="4" t="s">
        <v>13</v>
      </c>
      <c r="G1" s="4" t="s">
        <v>14</v>
      </c>
      <c r="H1" s="4" t="s">
        <v>15</v>
      </c>
      <c r="I1" s="4" t="s">
        <v>16</v>
      </c>
      <c r="J1" s="4" t="s">
        <v>17</v>
      </c>
      <c r="K1" s="4" t="s">
        <v>18</v>
      </c>
      <c r="L1" s="4" t="s">
        <v>19</v>
      </c>
      <c r="M1" s="4" t="s">
        <v>20</v>
      </c>
    </row>
    <row r="2" customFormat="false" ht="15" hidden="false" customHeight="false" outlineLevel="0" collapsed="false">
      <c r="A2" s="5" t="s">
        <v>21</v>
      </c>
      <c r="B2" s="5" t="s">
        <v>22</v>
      </c>
      <c r="C2" s="5" t="s">
        <v>23</v>
      </c>
      <c r="D2" s="5" t="s">
        <v>24</v>
      </c>
      <c r="E2" s="5"/>
      <c r="F2" s="5" t="s">
        <v>25</v>
      </c>
      <c r="G2" s="5" t="n">
        <v>8</v>
      </c>
      <c r="H2" s="5" t="s">
        <v>26</v>
      </c>
      <c r="I2" s="5" t="s">
        <v>27</v>
      </c>
      <c r="J2" s="5"/>
      <c r="K2" s="5" t="n">
        <v>10</v>
      </c>
      <c r="L2" s="5" t="n">
        <v>8</v>
      </c>
      <c r="M2" s="2" t="s">
        <v>28</v>
      </c>
    </row>
    <row r="3" customFormat="false" ht="79.85" hidden="false" customHeight="false" outlineLevel="0" collapsed="false">
      <c r="A3" s="5" t="s">
        <v>29</v>
      </c>
      <c r="B3" s="5" t="s">
        <v>22</v>
      </c>
      <c r="C3" s="5" t="s">
        <v>30</v>
      </c>
      <c r="D3" s="5" t="s">
        <v>31</v>
      </c>
      <c r="E3" s="5" t="s">
        <v>32</v>
      </c>
      <c r="F3" s="5"/>
      <c r="G3" s="5" t="n">
        <v>90</v>
      </c>
      <c r="H3" s="5" t="s">
        <v>33</v>
      </c>
      <c r="I3" s="5" t="s">
        <v>34</v>
      </c>
      <c r="J3" s="5" t="s">
        <v>35</v>
      </c>
      <c r="K3" s="5" t="n">
        <v>21</v>
      </c>
      <c r="L3" s="5" t="n">
        <v>6</v>
      </c>
      <c r="M3" s="2" t="s">
        <v>36</v>
      </c>
    </row>
    <row r="4" customFormat="false" ht="113.4" hidden="false" customHeight="false" outlineLevel="0" collapsed="false">
      <c r="A4" s="5" t="s">
        <v>37</v>
      </c>
      <c r="B4" s="5" t="s">
        <v>22</v>
      </c>
      <c r="C4" s="5" t="s">
        <v>38</v>
      </c>
      <c r="D4" s="5" t="s">
        <v>39</v>
      </c>
      <c r="E4" s="5" t="s">
        <v>32</v>
      </c>
      <c r="F4" s="5"/>
      <c r="G4" s="5" t="n">
        <v>94</v>
      </c>
      <c r="H4" s="5" t="s">
        <v>40</v>
      </c>
      <c r="I4" s="5" t="s">
        <v>41</v>
      </c>
      <c r="J4" s="5" t="s">
        <v>42</v>
      </c>
      <c r="K4" s="5" t="n">
        <v>23</v>
      </c>
      <c r="L4" s="5" t="n">
        <v>5</v>
      </c>
      <c r="M4" s="2" t="s">
        <v>43</v>
      </c>
    </row>
    <row r="5" customFormat="false" ht="113.4" hidden="false" customHeight="false" outlineLevel="0" collapsed="false">
      <c r="A5" s="5" t="s">
        <v>44</v>
      </c>
      <c r="B5" s="5" t="s">
        <v>22</v>
      </c>
      <c r="C5" s="5" t="s">
        <v>45</v>
      </c>
      <c r="D5" s="5" t="s">
        <v>46</v>
      </c>
      <c r="E5" s="5" t="s">
        <v>47</v>
      </c>
      <c r="F5" s="5" t="s">
        <v>48</v>
      </c>
      <c r="G5" s="5" t="n">
        <v>90</v>
      </c>
      <c r="H5" s="5" t="s">
        <v>49</v>
      </c>
      <c r="I5" s="5" t="s">
        <v>50</v>
      </c>
      <c r="J5" s="5" t="s">
        <v>51</v>
      </c>
      <c r="K5" s="5" t="n">
        <v>21</v>
      </c>
      <c r="L5" s="5" t="n">
        <v>6</v>
      </c>
      <c r="M5" s="2" t="s">
        <v>52</v>
      </c>
    </row>
    <row r="6" customFormat="false" ht="113.4" hidden="false" customHeight="false" outlineLevel="0" collapsed="false">
      <c r="A6" s="5" t="s">
        <v>53</v>
      </c>
      <c r="B6" s="5" t="s">
        <v>54</v>
      </c>
      <c r="C6" s="5" t="s">
        <v>38</v>
      </c>
      <c r="D6" s="5" t="s">
        <v>39</v>
      </c>
      <c r="E6" s="5" t="s">
        <v>55</v>
      </c>
      <c r="F6" s="5" t="s">
        <v>56</v>
      </c>
      <c r="G6" s="5" t="n">
        <v>78</v>
      </c>
      <c r="H6" s="5" t="s">
        <v>57</v>
      </c>
      <c r="I6" s="5" t="s">
        <v>34</v>
      </c>
      <c r="J6" s="5" t="s">
        <v>42</v>
      </c>
      <c r="K6" s="5" t="n">
        <v>22</v>
      </c>
      <c r="L6" s="5" t="n">
        <v>7</v>
      </c>
      <c r="M6" s="2" t="s">
        <v>58</v>
      </c>
    </row>
    <row r="7" customFormat="false" ht="147" hidden="false" customHeight="false" outlineLevel="0" collapsed="false">
      <c r="A7" s="5" t="s">
        <v>59</v>
      </c>
      <c r="B7" s="5" t="s">
        <v>54</v>
      </c>
      <c r="C7" s="5" t="s">
        <v>60</v>
      </c>
      <c r="D7" s="5" t="s">
        <v>61</v>
      </c>
      <c r="E7" s="5" t="s">
        <v>32</v>
      </c>
      <c r="F7" s="5" t="s">
        <v>25</v>
      </c>
      <c r="G7" s="5" t="n">
        <v>103</v>
      </c>
      <c r="H7" s="5" t="s">
        <v>62</v>
      </c>
      <c r="I7" s="5" t="s">
        <v>41</v>
      </c>
      <c r="J7" s="5" t="s">
        <v>63</v>
      </c>
      <c r="K7" s="5" t="n">
        <v>22</v>
      </c>
      <c r="L7" s="5" t="n">
        <v>3</v>
      </c>
      <c r="M7" s="2" t="s">
        <v>64</v>
      </c>
    </row>
    <row r="8" customFormat="false" ht="135.8" hidden="false" customHeight="false" outlineLevel="0" collapsed="false">
      <c r="A8" s="5" t="s">
        <v>65</v>
      </c>
      <c r="B8" s="5" t="s">
        <v>22</v>
      </c>
      <c r="C8" s="5" t="s">
        <v>60</v>
      </c>
      <c r="D8" s="5" t="s">
        <v>61</v>
      </c>
      <c r="E8" s="5" t="s">
        <v>32</v>
      </c>
      <c r="F8" s="5" t="s">
        <v>25</v>
      </c>
      <c r="G8" s="5" t="n">
        <v>115</v>
      </c>
      <c r="H8" s="5" t="s">
        <v>66</v>
      </c>
      <c r="I8" s="5" t="s">
        <v>67</v>
      </c>
      <c r="J8" s="5" t="s">
        <v>63</v>
      </c>
      <c r="K8" s="5" t="n">
        <v>22</v>
      </c>
      <c r="L8" s="5" t="n">
        <v>4</v>
      </c>
      <c r="M8" s="2" t="s">
        <v>68</v>
      </c>
    </row>
    <row r="9" customFormat="false" ht="102.2" hidden="false" customHeight="false" outlineLevel="0" collapsed="false">
      <c r="A9" s="5" t="s">
        <v>69</v>
      </c>
      <c r="B9" s="5" t="s">
        <v>54</v>
      </c>
      <c r="C9" s="5" t="s">
        <v>70</v>
      </c>
      <c r="D9" s="5" t="s">
        <v>71</v>
      </c>
      <c r="E9" s="5"/>
      <c r="F9" s="5"/>
      <c r="G9" s="5" t="n">
        <v>68</v>
      </c>
      <c r="H9" s="5" t="s">
        <v>72</v>
      </c>
      <c r="I9" s="5" t="s">
        <v>73</v>
      </c>
      <c r="J9" s="5" t="s">
        <v>74</v>
      </c>
      <c r="K9" s="5" t="n">
        <v>20</v>
      </c>
      <c r="L9" s="5" t="n">
        <v>8</v>
      </c>
      <c r="M9" s="2" t="s">
        <v>75</v>
      </c>
    </row>
    <row r="10" customFormat="false" ht="135.8" hidden="false" customHeight="false" outlineLevel="0" collapsed="false">
      <c r="A10" s="5" t="s">
        <v>76</v>
      </c>
      <c r="B10" s="5" t="s">
        <v>22</v>
      </c>
      <c r="C10" s="5" t="s">
        <v>77</v>
      </c>
      <c r="D10" s="5" t="s">
        <v>78</v>
      </c>
      <c r="E10" s="5" t="s">
        <v>32</v>
      </c>
      <c r="F10" s="5" t="s">
        <v>25</v>
      </c>
      <c r="G10" s="5" t="n">
        <v>118</v>
      </c>
      <c r="H10" s="5" t="s">
        <v>79</v>
      </c>
      <c r="I10" s="5" t="s">
        <v>73</v>
      </c>
      <c r="J10" s="5" t="s">
        <v>80</v>
      </c>
      <c r="K10" s="5" t="n">
        <v>22</v>
      </c>
      <c r="L10" s="5" t="n">
        <v>4</v>
      </c>
      <c r="M10" s="2" t="s">
        <v>81</v>
      </c>
    </row>
    <row r="11" customFormat="false" ht="147" hidden="false" customHeight="false" outlineLevel="0" collapsed="false">
      <c r="A11" s="5" t="s">
        <v>82</v>
      </c>
      <c r="B11" s="5" t="s">
        <v>22</v>
      </c>
      <c r="C11" s="5" t="s">
        <v>77</v>
      </c>
      <c r="D11" s="5" t="s">
        <v>78</v>
      </c>
      <c r="E11" s="5" t="s">
        <v>32</v>
      </c>
      <c r="F11" s="5" t="s">
        <v>55</v>
      </c>
      <c r="G11" s="5" t="n">
        <v>109</v>
      </c>
      <c r="H11" s="5" t="s">
        <v>83</v>
      </c>
      <c r="I11" s="5" t="s">
        <v>50</v>
      </c>
      <c r="J11" s="5" t="s">
        <v>80</v>
      </c>
      <c r="K11" s="5" t="n">
        <v>22</v>
      </c>
      <c r="L11" s="5" t="n">
        <v>5</v>
      </c>
      <c r="M11" s="2" t="s">
        <v>84</v>
      </c>
    </row>
    <row r="12" customFormat="false" ht="113.4" hidden="false" customHeight="false" outlineLevel="0" collapsed="false">
      <c r="A12" s="5" t="s">
        <v>85</v>
      </c>
      <c r="B12" s="5" t="s">
        <v>22</v>
      </c>
      <c r="C12" s="5" t="s">
        <v>38</v>
      </c>
      <c r="D12" s="5" t="s">
        <v>39</v>
      </c>
      <c r="E12" s="5" t="s">
        <v>32</v>
      </c>
      <c r="F12" s="5"/>
      <c r="G12" s="5" t="n">
        <v>91</v>
      </c>
      <c r="H12" s="5" t="s">
        <v>86</v>
      </c>
      <c r="I12" s="5" t="s">
        <v>87</v>
      </c>
      <c r="J12" s="5" t="s">
        <v>42</v>
      </c>
      <c r="K12" s="5" t="n">
        <v>24</v>
      </c>
      <c r="L12" s="5" t="n">
        <v>7</v>
      </c>
      <c r="M12" s="2" t="s">
        <v>88</v>
      </c>
    </row>
    <row r="13" customFormat="false" ht="124.6" hidden="false" customHeight="false" outlineLevel="0" collapsed="false">
      <c r="A13" s="5" t="s">
        <v>89</v>
      </c>
      <c r="B13" s="5" t="s">
        <v>22</v>
      </c>
      <c r="C13" s="5" t="s">
        <v>90</v>
      </c>
      <c r="D13" s="5" t="s">
        <v>91</v>
      </c>
      <c r="E13" s="5" t="s">
        <v>47</v>
      </c>
      <c r="F13" s="5" t="s">
        <v>92</v>
      </c>
      <c r="G13" s="5" t="n">
        <v>85</v>
      </c>
      <c r="H13" s="5" t="s">
        <v>93</v>
      </c>
      <c r="I13" s="5" t="s">
        <v>94</v>
      </c>
      <c r="J13" s="5" t="s">
        <v>95</v>
      </c>
      <c r="K13" s="5" t="n">
        <v>21</v>
      </c>
      <c r="L13" s="5" t="n">
        <v>10</v>
      </c>
      <c r="M13" s="2" t="s">
        <v>96</v>
      </c>
    </row>
    <row r="14" customFormat="false" ht="124.6" hidden="false" customHeight="false" outlineLevel="0" collapsed="false">
      <c r="A14" s="5" t="s">
        <v>97</v>
      </c>
      <c r="B14" s="5" t="s">
        <v>98</v>
      </c>
      <c r="C14" s="5" t="s">
        <v>38</v>
      </c>
      <c r="D14" s="5" t="s">
        <v>39</v>
      </c>
      <c r="E14" s="5" t="s">
        <v>32</v>
      </c>
      <c r="F14" s="5" t="s">
        <v>99</v>
      </c>
      <c r="G14" s="5" t="n">
        <v>95</v>
      </c>
      <c r="H14" s="5" t="s">
        <v>100</v>
      </c>
      <c r="I14" s="5" t="s">
        <v>41</v>
      </c>
      <c r="J14" s="5" t="s">
        <v>42</v>
      </c>
      <c r="K14" s="5" t="n">
        <v>23</v>
      </c>
      <c r="L14" s="5" t="n">
        <v>6</v>
      </c>
      <c r="M14" s="2" t="s">
        <v>101</v>
      </c>
    </row>
    <row r="15" customFormat="false" ht="124.6" hidden="false" customHeight="false" outlineLevel="0" collapsed="false">
      <c r="A15" s="5" t="s">
        <v>102</v>
      </c>
      <c r="B15" s="5" t="s">
        <v>98</v>
      </c>
      <c r="C15" s="5" t="s">
        <v>45</v>
      </c>
      <c r="D15" s="5" t="s">
        <v>46</v>
      </c>
      <c r="E15" s="5" t="s">
        <v>47</v>
      </c>
      <c r="F15" s="5" t="s">
        <v>25</v>
      </c>
      <c r="G15" s="5" t="n">
        <v>81</v>
      </c>
      <c r="H15" s="5" t="s">
        <v>103</v>
      </c>
      <c r="I15" s="5" t="s">
        <v>104</v>
      </c>
      <c r="J15" s="5" t="s">
        <v>51</v>
      </c>
      <c r="K15" s="5" t="n">
        <v>20</v>
      </c>
      <c r="L15" s="5" t="n">
        <v>7</v>
      </c>
      <c r="M15" s="2" t="s">
        <v>105</v>
      </c>
    </row>
    <row r="16" customFormat="false" ht="124.6" hidden="false" customHeight="false" outlineLevel="0" collapsed="false">
      <c r="A16" s="5" t="s">
        <v>106</v>
      </c>
      <c r="B16" s="5" t="s">
        <v>22</v>
      </c>
      <c r="C16" s="5" t="s">
        <v>77</v>
      </c>
      <c r="D16" s="5" t="s">
        <v>78</v>
      </c>
      <c r="E16" s="5" t="s">
        <v>47</v>
      </c>
      <c r="F16" s="5" t="s">
        <v>92</v>
      </c>
      <c r="G16" s="5" t="n">
        <v>96</v>
      </c>
      <c r="H16" s="5" t="s">
        <v>107</v>
      </c>
      <c r="I16" s="5" t="s">
        <v>67</v>
      </c>
      <c r="J16" s="5" t="s">
        <v>80</v>
      </c>
      <c r="K16" s="5" t="n">
        <v>20</v>
      </c>
      <c r="L16" s="5" t="n">
        <v>5</v>
      </c>
      <c r="M16" s="2" t="s">
        <v>108</v>
      </c>
    </row>
    <row r="17" customFormat="false" ht="135.8" hidden="false" customHeight="false" outlineLevel="0" collapsed="false">
      <c r="A17" s="5" t="s">
        <v>109</v>
      </c>
      <c r="B17" s="5" t="s">
        <v>22</v>
      </c>
      <c r="C17" s="5" t="s">
        <v>110</v>
      </c>
      <c r="D17" s="5" t="s">
        <v>111</v>
      </c>
      <c r="E17" s="5" t="s">
        <v>47</v>
      </c>
      <c r="F17" s="5" t="s">
        <v>48</v>
      </c>
      <c r="G17" s="5" t="n">
        <v>120</v>
      </c>
      <c r="H17" s="5" t="s">
        <v>112</v>
      </c>
      <c r="I17" s="5" t="s">
        <v>94</v>
      </c>
      <c r="J17" s="5" t="s">
        <v>113</v>
      </c>
      <c r="K17" s="5" t="n">
        <v>25</v>
      </c>
      <c r="L17" s="5" t="n">
        <v>5</v>
      </c>
      <c r="M17" s="2" t="s">
        <v>114</v>
      </c>
    </row>
    <row r="18" customFormat="false" ht="124.6" hidden="false" customHeight="false" outlineLevel="0" collapsed="false">
      <c r="A18" s="5" t="s">
        <v>115</v>
      </c>
      <c r="B18" s="5" t="s">
        <v>22</v>
      </c>
      <c r="C18" s="5" t="s">
        <v>38</v>
      </c>
      <c r="D18" s="5" t="s">
        <v>39</v>
      </c>
      <c r="E18" s="5" t="s">
        <v>32</v>
      </c>
      <c r="F18" s="5" t="s">
        <v>92</v>
      </c>
      <c r="G18" s="5" t="n">
        <v>97</v>
      </c>
      <c r="H18" s="5" t="s">
        <v>116</v>
      </c>
      <c r="I18" s="5" t="s">
        <v>117</v>
      </c>
      <c r="J18" s="5" t="s">
        <v>42</v>
      </c>
      <c r="K18" s="5" t="n">
        <v>22</v>
      </c>
      <c r="L18" s="5" t="n">
        <v>7</v>
      </c>
      <c r="M18" s="2" t="s">
        <v>118</v>
      </c>
    </row>
    <row r="19" customFormat="false" ht="158.2" hidden="false" customHeight="false" outlineLevel="0" collapsed="false">
      <c r="A19" s="5" t="s">
        <v>119</v>
      </c>
      <c r="B19" s="5" t="s">
        <v>22</v>
      </c>
      <c r="C19" s="5" t="s">
        <v>110</v>
      </c>
      <c r="D19" s="5" t="s">
        <v>111</v>
      </c>
      <c r="E19" s="5" t="s">
        <v>32</v>
      </c>
      <c r="F19" s="5" t="s">
        <v>99</v>
      </c>
      <c r="G19" s="5" t="n">
        <v>128</v>
      </c>
      <c r="H19" s="5" t="s">
        <v>120</v>
      </c>
      <c r="I19" s="5" t="s">
        <v>73</v>
      </c>
      <c r="J19" s="5" t="s">
        <v>113</v>
      </c>
      <c r="K19" s="5" t="n">
        <v>25</v>
      </c>
      <c r="L19" s="5" t="n">
        <v>5</v>
      </c>
      <c r="M19" s="2" t="s">
        <v>121</v>
      </c>
    </row>
    <row r="20" customFormat="false" ht="79.85" hidden="false" customHeight="false" outlineLevel="0" collapsed="false">
      <c r="A20" s="5" t="s">
        <v>122</v>
      </c>
      <c r="B20" s="5" t="s">
        <v>22</v>
      </c>
      <c r="C20" s="5" t="s">
        <v>70</v>
      </c>
      <c r="D20" s="5" t="s">
        <v>71</v>
      </c>
      <c r="E20" s="5" t="s">
        <v>47</v>
      </c>
      <c r="F20" s="5" t="s">
        <v>123</v>
      </c>
      <c r="G20" s="5" t="n">
        <v>63</v>
      </c>
      <c r="H20" s="5" t="s">
        <v>124</v>
      </c>
      <c r="I20" s="5" t="s">
        <v>27</v>
      </c>
      <c r="J20" s="5" t="s">
        <v>125</v>
      </c>
      <c r="K20" s="5" t="n">
        <v>21</v>
      </c>
      <c r="L20" s="5" t="n">
        <v>8</v>
      </c>
      <c r="M20" s="2" t="s">
        <v>126</v>
      </c>
    </row>
    <row r="21" customFormat="false" ht="135.8" hidden="false" customHeight="false" outlineLevel="0" collapsed="false">
      <c r="A21" s="5" t="s">
        <v>127</v>
      </c>
      <c r="B21" s="5" t="s">
        <v>22</v>
      </c>
      <c r="C21" s="5" t="s">
        <v>128</v>
      </c>
      <c r="D21" s="5" t="s">
        <v>129</v>
      </c>
      <c r="E21" s="5" t="s">
        <v>32</v>
      </c>
      <c r="F21" s="5" t="s">
        <v>48</v>
      </c>
      <c r="G21" s="5" t="n">
        <v>106</v>
      </c>
      <c r="H21" s="5" t="s">
        <v>79</v>
      </c>
      <c r="I21" s="5" t="s">
        <v>50</v>
      </c>
      <c r="J21" s="5" t="s">
        <v>130</v>
      </c>
      <c r="K21" s="5" t="n">
        <v>22</v>
      </c>
      <c r="L21" s="5" t="n">
        <v>8</v>
      </c>
      <c r="M21" s="2" t="s">
        <v>131</v>
      </c>
    </row>
    <row r="22" customFormat="false" ht="113.4" hidden="false" customHeight="false" outlineLevel="0" collapsed="false">
      <c r="A22" s="5" t="s">
        <v>132</v>
      </c>
      <c r="B22" s="5" t="s">
        <v>54</v>
      </c>
      <c r="C22" s="5" t="s">
        <v>45</v>
      </c>
      <c r="D22" s="5" t="s">
        <v>46</v>
      </c>
      <c r="E22" s="5" t="s">
        <v>47</v>
      </c>
      <c r="F22" s="5" t="s">
        <v>133</v>
      </c>
      <c r="G22" s="5" t="n">
        <v>77</v>
      </c>
      <c r="H22" s="5" t="s">
        <v>134</v>
      </c>
      <c r="I22" s="5" t="s">
        <v>135</v>
      </c>
      <c r="J22" s="5" t="s">
        <v>51</v>
      </c>
      <c r="K22" s="5" t="n">
        <v>20</v>
      </c>
      <c r="L22" s="5" t="n">
        <v>7</v>
      </c>
      <c r="M22" s="2" t="s">
        <v>136</v>
      </c>
    </row>
    <row r="23" customFormat="false" ht="158.2" hidden="false" customHeight="false" outlineLevel="0" collapsed="false">
      <c r="A23" s="5" t="s">
        <v>137</v>
      </c>
      <c r="B23" s="5" t="s">
        <v>22</v>
      </c>
      <c r="C23" s="5" t="s">
        <v>60</v>
      </c>
      <c r="D23" s="5" t="s">
        <v>61</v>
      </c>
      <c r="E23" s="5" t="s">
        <v>55</v>
      </c>
      <c r="F23" s="5" t="s">
        <v>55</v>
      </c>
      <c r="G23" s="5" t="n">
        <v>117</v>
      </c>
      <c r="H23" s="5" t="s">
        <v>138</v>
      </c>
      <c r="I23" s="5" t="s">
        <v>27</v>
      </c>
      <c r="J23" s="5" t="s">
        <v>139</v>
      </c>
      <c r="K23" s="5" t="n">
        <v>23</v>
      </c>
      <c r="L23" s="5" t="n">
        <v>5</v>
      </c>
      <c r="M23" s="2" t="s">
        <v>140</v>
      </c>
    </row>
    <row r="24" customFormat="false" ht="124.6" hidden="false" customHeight="false" outlineLevel="0" collapsed="false">
      <c r="A24" s="5" t="s">
        <v>141</v>
      </c>
      <c r="B24" s="5" t="s">
        <v>22</v>
      </c>
      <c r="C24" s="5" t="s">
        <v>60</v>
      </c>
      <c r="D24" s="5" t="s">
        <v>61</v>
      </c>
      <c r="E24" s="5" t="s">
        <v>47</v>
      </c>
      <c r="F24" s="5" t="s">
        <v>25</v>
      </c>
      <c r="G24" s="5" t="n">
        <v>99</v>
      </c>
      <c r="H24" s="5" t="s">
        <v>142</v>
      </c>
      <c r="I24" s="5" t="s">
        <v>104</v>
      </c>
      <c r="J24" s="5" t="s">
        <v>143</v>
      </c>
      <c r="K24" s="5" t="n">
        <v>22</v>
      </c>
      <c r="L24" s="5" t="n">
        <v>5</v>
      </c>
      <c r="M24" s="2" t="s">
        <v>144</v>
      </c>
    </row>
    <row r="25" customFormat="false" ht="124.6" hidden="false" customHeight="false" outlineLevel="0" collapsed="false">
      <c r="A25" s="5" t="s">
        <v>145</v>
      </c>
      <c r="B25" s="5" t="s">
        <v>98</v>
      </c>
      <c r="C25" s="5" t="s">
        <v>45</v>
      </c>
      <c r="D25" s="5" t="s">
        <v>46</v>
      </c>
      <c r="E25" s="5" t="s">
        <v>32</v>
      </c>
      <c r="F25" s="5"/>
      <c r="G25" s="5" t="n">
        <v>101</v>
      </c>
      <c r="H25" s="5" t="s">
        <v>62</v>
      </c>
      <c r="I25" s="5" t="s">
        <v>34</v>
      </c>
      <c r="J25" s="5" t="s">
        <v>51</v>
      </c>
      <c r="K25" s="5" t="n">
        <v>21</v>
      </c>
      <c r="L25" s="5" t="n">
        <v>4</v>
      </c>
      <c r="M25" s="2" t="s">
        <v>146</v>
      </c>
    </row>
    <row r="26" customFormat="false" ht="91" hidden="false" customHeight="false" outlineLevel="0" collapsed="false">
      <c r="A26" s="5" t="s">
        <v>147</v>
      </c>
      <c r="B26" s="5" t="s">
        <v>22</v>
      </c>
      <c r="C26" s="5" t="s">
        <v>30</v>
      </c>
      <c r="D26" s="5" t="s">
        <v>31</v>
      </c>
      <c r="E26" s="5" t="s">
        <v>32</v>
      </c>
      <c r="F26" s="5" t="s">
        <v>148</v>
      </c>
      <c r="G26" s="5" t="n">
        <v>68</v>
      </c>
      <c r="H26" s="5" t="s">
        <v>149</v>
      </c>
      <c r="I26" s="5" t="s">
        <v>50</v>
      </c>
      <c r="J26" s="5" t="s">
        <v>150</v>
      </c>
      <c r="K26" s="5" t="n">
        <v>20</v>
      </c>
      <c r="L26" s="5" t="n">
        <v>6</v>
      </c>
      <c r="M26" s="2" t="s">
        <v>151</v>
      </c>
    </row>
    <row r="27" customFormat="false" ht="15" hidden="false" customHeight="false" outlineLevel="0" collapsed="false">
      <c r="A27" s="5" t="s">
        <v>152</v>
      </c>
      <c r="B27" s="5" t="s">
        <v>22</v>
      </c>
      <c r="C27" s="5" t="s">
        <v>23</v>
      </c>
      <c r="D27" s="5" t="s">
        <v>24</v>
      </c>
      <c r="E27" s="5"/>
      <c r="F27" s="5" t="s">
        <v>56</v>
      </c>
      <c r="G27" s="5" t="n">
        <v>11</v>
      </c>
      <c r="H27" s="5" t="s">
        <v>153</v>
      </c>
      <c r="I27" s="5" t="s">
        <v>94</v>
      </c>
      <c r="J27" s="5"/>
      <c r="K27" s="5" t="n">
        <v>10</v>
      </c>
      <c r="L27" s="5" t="n">
        <v>8</v>
      </c>
      <c r="M27" s="2" t="s">
        <v>154</v>
      </c>
    </row>
    <row r="28" customFormat="false" ht="135.8" hidden="false" customHeight="false" outlineLevel="0" collapsed="false">
      <c r="A28" s="5" t="s">
        <v>155</v>
      </c>
      <c r="B28" s="5" t="s">
        <v>54</v>
      </c>
      <c r="C28" s="5" t="s">
        <v>77</v>
      </c>
      <c r="D28" s="5" t="s">
        <v>78</v>
      </c>
      <c r="E28" s="5" t="s">
        <v>47</v>
      </c>
      <c r="F28" s="5" t="s">
        <v>56</v>
      </c>
      <c r="G28" s="5" t="n">
        <v>112</v>
      </c>
      <c r="H28" s="5" t="s">
        <v>156</v>
      </c>
      <c r="I28" s="5" t="s">
        <v>50</v>
      </c>
      <c r="J28" s="5" t="s">
        <v>80</v>
      </c>
      <c r="K28" s="5" t="n">
        <v>22</v>
      </c>
      <c r="L28" s="5" t="n">
        <v>3</v>
      </c>
      <c r="M28" s="2" t="s">
        <v>157</v>
      </c>
    </row>
    <row r="29" customFormat="false" ht="147" hidden="false" customHeight="false" outlineLevel="0" collapsed="false">
      <c r="A29" s="5" t="s">
        <v>158</v>
      </c>
      <c r="B29" s="5" t="s">
        <v>98</v>
      </c>
      <c r="C29" s="5" t="s">
        <v>110</v>
      </c>
      <c r="D29" s="5" t="s">
        <v>111</v>
      </c>
      <c r="E29" s="5"/>
      <c r="F29" s="5" t="s">
        <v>148</v>
      </c>
      <c r="G29" s="5" t="n">
        <v>125</v>
      </c>
      <c r="H29" s="5" t="s">
        <v>159</v>
      </c>
      <c r="I29" s="5" t="s">
        <v>104</v>
      </c>
      <c r="J29" s="5" t="s">
        <v>113</v>
      </c>
      <c r="K29" s="5" t="n">
        <v>25</v>
      </c>
      <c r="L29" s="5" t="n">
        <v>5</v>
      </c>
      <c r="M29" s="2" t="s">
        <v>160</v>
      </c>
    </row>
    <row r="30" customFormat="false" ht="91" hidden="false" customHeight="false" outlineLevel="0" collapsed="false">
      <c r="A30" s="5" t="s">
        <v>161</v>
      </c>
      <c r="B30" s="5" t="s">
        <v>22</v>
      </c>
      <c r="C30" s="5" t="s">
        <v>30</v>
      </c>
      <c r="D30" s="5" t="s">
        <v>31</v>
      </c>
      <c r="E30" s="5" t="s">
        <v>32</v>
      </c>
      <c r="F30" s="5" t="s">
        <v>162</v>
      </c>
      <c r="G30" s="5" t="n">
        <v>71</v>
      </c>
      <c r="H30" s="5" t="s">
        <v>107</v>
      </c>
      <c r="I30" s="5" t="s">
        <v>41</v>
      </c>
      <c r="J30" s="5" t="s">
        <v>35</v>
      </c>
      <c r="K30" s="5" t="n">
        <v>21</v>
      </c>
      <c r="L30" s="5" t="n">
        <v>6</v>
      </c>
      <c r="M30" s="2" t="s">
        <v>163</v>
      </c>
    </row>
    <row r="31" customFormat="false" ht="124.6" hidden="false" customHeight="false" outlineLevel="0" collapsed="false">
      <c r="A31" s="5" t="s">
        <v>164</v>
      </c>
      <c r="B31" s="5" t="s">
        <v>54</v>
      </c>
      <c r="C31" s="5" t="s">
        <v>60</v>
      </c>
      <c r="D31" s="5" t="s">
        <v>61</v>
      </c>
      <c r="E31" s="5" t="s">
        <v>32</v>
      </c>
      <c r="F31" s="5" t="s">
        <v>92</v>
      </c>
      <c r="G31" s="5" t="n">
        <v>86</v>
      </c>
      <c r="H31" s="5" t="s">
        <v>62</v>
      </c>
      <c r="I31" s="5" t="s">
        <v>135</v>
      </c>
      <c r="J31" s="5" t="s">
        <v>165</v>
      </c>
      <c r="K31" s="5" t="n">
        <v>22</v>
      </c>
      <c r="L31" s="5" t="n">
        <v>6</v>
      </c>
      <c r="M31" s="2" t="s">
        <v>166</v>
      </c>
    </row>
    <row r="32" customFormat="false" ht="147" hidden="false" customHeight="false" outlineLevel="0" collapsed="false">
      <c r="A32" s="5" t="s">
        <v>167</v>
      </c>
      <c r="B32" s="5" t="s">
        <v>22</v>
      </c>
      <c r="C32" s="5" t="s">
        <v>110</v>
      </c>
      <c r="D32" s="5" t="s">
        <v>111</v>
      </c>
      <c r="E32" s="5"/>
      <c r="F32" s="5" t="s">
        <v>55</v>
      </c>
      <c r="G32" s="5" t="n">
        <v>127</v>
      </c>
      <c r="H32" s="5" t="s">
        <v>168</v>
      </c>
      <c r="I32" s="5" t="s">
        <v>94</v>
      </c>
      <c r="J32" s="5" t="s">
        <v>113</v>
      </c>
      <c r="K32" s="5" t="n">
        <v>23</v>
      </c>
      <c r="L32" s="5" t="n">
        <v>5</v>
      </c>
      <c r="M32" s="2" t="s">
        <v>169</v>
      </c>
    </row>
    <row r="33" customFormat="false" ht="135.8" hidden="false" customHeight="false" outlineLevel="0" collapsed="false">
      <c r="A33" s="5" t="s">
        <v>170</v>
      </c>
      <c r="B33" s="5" t="s">
        <v>22</v>
      </c>
      <c r="C33" s="5" t="s">
        <v>77</v>
      </c>
      <c r="D33" s="5" t="s">
        <v>78</v>
      </c>
      <c r="E33" s="5" t="s">
        <v>47</v>
      </c>
      <c r="F33" s="5"/>
      <c r="G33" s="5" t="n">
        <v>111</v>
      </c>
      <c r="H33" s="5" t="s">
        <v>156</v>
      </c>
      <c r="I33" s="5" t="s">
        <v>50</v>
      </c>
      <c r="J33" s="5" t="s">
        <v>80</v>
      </c>
      <c r="K33" s="5" t="n">
        <v>22</v>
      </c>
      <c r="L33" s="5" t="n">
        <v>3</v>
      </c>
      <c r="M33" s="2" t="s">
        <v>171</v>
      </c>
    </row>
    <row r="34" customFormat="false" ht="113.4" hidden="false" customHeight="false" outlineLevel="0" collapsed="false">
      <c r="A34" s="5" t="s">
        <v>172</v>
      </c>
      <c r="B34" s="5" t="s">
        <v>22</v>
      </c>
      <c r="C34" s="5" t="s">
        <v>60</v>
      </c>
      <c r="D34" s="5" t="s">
        <v>61</v>
      </c>
      <c r="E34" s="5"/>
      <c r="F34" s="5"/>
      <c r="G34" s="5" t="n">
        <v>82</v>
      </c>
      <c r="H34" s="5" t="s">
        <v>168</v>
      </c>
      <c r="I34" s="5" t="s">
        <v>67</v>
      </c>
      <c r="J34" s="5" t="s">
        <v>143</v>
      </c>
      <c r="K34" s="5" t="n">
        <v>20</v>
      </c>
      <c r="L34" s="5" t="n">
        <v>8</v>
      </c>
      <c r="M34" s="2" t="s">
        <v>173</v>
      </c>
    </row>
    <row r="35" customFormat="false" ht="102.2" hidden="false" customHeight="false" outlineLevel="0" collapsed="false">
      <c r="A35" s="5" t="s">
        <v>174</v>
      </c>
      <c r="B35" s="5" t="s">
        <v>22</v>
      </c>
      <c r="C35" s="5" t="s">
        <v>70</v>
      </c>
      <c r="D35" s="5" t="s">
        <v>71</v>
      </c>
      <c r="E35" s="5" t="s">
        <v>47</v>
      </c>
      <c r="F35" s="5" t="s">
        <v>162</v>
      </c>
      <c r="G35" s="5" t="n">
        <v>83</v>
      </c>
      <c r="H35" s="5" t="s">
        <v>175</v>
      </c>
      <c r="I35" s="5" t="s">
        <v>73</v>
      </c>
      <c r="J35" s="5" t="s">
        <v>125</v>
      </c>
      <c r="K35" s="5" t="n">
        <v>22</v>
      </c>
      <c r="L35" s="5" t="n">
        <v>8</v>
      </c>
      <c r="M35" s="2" t="s">
        <v>176</v>
      </c>
    </row>
    <row r="36" customFormat="false" ht="102.2" hidden="false" customHeight="false" outlineLevel="0" collapsed="false">
      <c r="A36" s="5" t="s">
        <v>177</v>
      </c>
      <c r="B36" s="5" t="s">
        <v>22</v>
      </c>
      <c r="C36" s="5" t="s">
        <v>70</v>
      </c>
      <c r="D36" s="5" t="s">
        <v>71</v>
      </c>
      <c r="E36" s="5" t="s">
        <v>47</v>
      </c>
      <c r="F36" s="5" t="s">
        <v>25</v>
      </c>
      <c r="G36" s="5" t="n">
        <v>76</v>
      </c>
      <c r="H36" s="5" t="s">
        <v>178</v>
      </c>
      <c r="I36" s="5" t="s">
        <v>135</v>
      </c>
      <c r="J36" s="5" t="s">
        <v>125</v>
      </c>
      <c r="K36" s="5" t="n">
        <v>21</v>
      </c>
      <c r="L36" s="5" t="n">
        <v>6</v>
      </c>
      <c r="M36" s="2" t="s">
        <v>179</v>
      </c>
    </row>
    <row r="37" customFormat="false" ht="158.2" hidden="false" customHeight="false" outlineLevel="0" collapsed="false">
      <c r="A37" s="5" t="s">
        <v>180</v>
      </c>
      <c r="B37" s="5" t="s">
        <v>22</v>
      </c>
      <c r="C37" s="5" t="s">
        <v>110</v>
      </c>
      <c r="D37" s="5" t="s">
        <v>111</v>
      </c>
      <c r="E37" s="5" t="s">
        <v>47</v>
      </c>
      <c r="F37" s="5" t="s">
        <v>133</v>
      </c>
      <c r="G37" s="5" t="n">
        <v>117</v>
      </c>
      <c r="H37" s="5" t="s">
        <v>181</v>
      </c>
      <c r="I37" s="5" t="s">
        <v>67</v>
      </c>
      <c r="J37" s="5" t="s">
        <v>113</v>
      </c>
      <c r="K37" s="5" t="n">
        <v>25</v>
      </c>
      <c r="L37" s="5" t="n">
        <v>7</v>
      </c>
      <c r="M37" s="2" t="s">
        <v>182</v>
      </c>
    </row>
    <row r="38" customFormat="false" ht="102.2" hidden="false" customHeight="false" outlineLevel="0" collapsed="false">
      <c r="A38" s="5" t="s">
        <v>183</v>
      </c>
      <c r="B38" s="5" t="s">
        <v>22</v>
      </c>
      <c r="C38" s="5" t="s">
        <v>184</v>
      </c>
      <c r="D38" s="5" t="s">
        <v>39</v>
      </c>
      <c r="E38" s="5"/>
      <c r="F38" s="5" t="s">
        <v>48</v>
      </c>
      <c r="G38" s="5" t="n">
        <v>79</v>
      </c>
      <c r="H38" s="5" t="s">
        <v>185</v>
      </c>
      <c r="I38" s="5" t="s">
        <v>41</v>
      </c>
      <c r="J38" s="5"/>
      <c r="K38" s="5" t="n">
        <v>20</v>
      </c>
      <c r="L38" s="5" t="n">
        <v>6</v>
      </c>
      <c r="M38" s="2" t="s">
        <v>186</v>
      </c>
    </row>
    <row r="39" customFormat="false" ht="15" hidden="false" customHeight="false" outlineLevel="0" collapsed="false">
      <c r="A39" s="5" t="s">
        <v>187</v>
      </c>
      <c r="B39" s="5" t="s">
        <v>54</v>
      </c>
      <c r="C39" s="5" t="s">
        <v>23</v>
      </c>
      <c r="D39" s="5" t="s">
        <v>24</v>
      </c>
      <c r="E39" s="5"/>
      <c r="F39" s="5" t="s">
        <v>92</v>
      </c>
      <c r="G39" s="5" t="n">
        <v>13</v>
      </c>
      <c r="H39" s="5" t="s">
        <v>188</v>
      </c>
      <c r="I39" s="5" t="s">
        <v>50</v>
      </c>
      <c r="J39" s="5"/>
      <c r="K39" s="5" t="n">
        <v>10</v>
      </c>
      <c r="L39" s="5" t="n">
        <v>7</v>
      </c>
      <c r="M39" s="2" t="s">
        <v>189</v>
      </c>
    </row>
    <row r="40" customFormat="false" ht="15" hidden="false" customHeight="false" outlineLevel="0" collapsed="false">
      <c r="A40" s="5" t="s">
        <v>190</v>
      </c>
      <c r="B40" s="5" t="s">
        <v>22</v>
      </c>
      <c r="C40" s="5" t="s">
        <v>23</v>
      </c>
      <c r="D40" s="5" t="s">
        <v>111</v>
      </c>
      <c r="E40" s="5" t="s">
        <v>47</v>
      </c>
      <c r="F40" s="5" t="s">
        <v>92</v>
      </c>
      <c r="G40" s="5" t="n">
        <v>16</v>
      </c>
      <c r="H40" s="5" t="s">
        <v>191</v>
      </c>
      <c r="I40" s="5" t="s">
        <v>50</v>
      </c>
      <c r="J40" s="5" t="s">
        <v>111</v>
      </c>
      <c r="K40" s="5" t="n">
        <v>11</v>
      </c>
      <c r="L40" s="5" t="n">
        <v>7</v>
      </c>
      <c r="M40" s="2" t="s">
        <v>192</v>
      </c>
    </row>
    <row r="41" customFormat="false" ht="169.4" hidden="false" customHeight="false" outlineLevel="0" collapsed="false">
      <c r="A41" s="5" t="s">
        <v>193</v>
      </c>
      <c r="B41" s="5" t="s">
        <v>54</v>
      </c>
      <c r="C41" s="5" t="s">
        <v>90</v>
      </c>
      <c r="D41" s="5" t="s">
        <v>91</v>
      </c>
      <c r="E41" s="5"/>
      <c r="F41" s="5" t="s">
        <v>162</v>
      </c>
      <c r="G41" s="5" t="n">
        <v>103</v>
      </c>
      <c r="H41" s="5" t="s">
        <v>194</v>
      </c>
      <c r="I41" s="5" t="s">
        <v>117</v>
      </c>
      <c r="J41" s="5" t="s">
        <v>95</v>
      </c>
      <c r="K41" s="5" t="n">
        <v>22</v>
      </c>
      <c r="L41" s="5" t="n">
        <v>7</v>
      </c>
      <c r="M41" s="2" t="s">
        <v>195</v>
      </c>
    </row>
    <row r="42" customFormat="false" ht="124.6" hidden="false" customHeight="false" outlineLevel="0" collapsed="false">
      <c r="A42" s="5" t="s">
        <v>196</v>
      </c>
      <c r="B42" s="5" t="s">
        <v>22</v>
      </c>
      <c r="C42" s="5" t="s">
        <v>60</v>
      </c>
      <c r="D42" s="5" t="s">
        <v>61</v>
      </c>
      <c r="E42" s="5" t="s">
        <v>47</v>
      </c>
      <c r="F42" s="5" t="s">
        <v>92</v>
      </c>
      <c r="G42" s="5" t="n">
        <v>82</v>
      </c>
      <c r="H42" s="5" t="s">
        <v>107</v>
      </c>
      <c r="I42" s="5" t="s">
        <v>73</v>
      </c>
      <c r="J42" s="5" t="s">
        <v>197</v>
      </c>
      <c r="K42" s="5" t="n">
        <v>22</v>
      </c>
      <c r="L42" s="5" t="n">
        <v>6</v>
      </c>
      <c r="M42" s="2" t="s">
        <v>198</v>
      </c>
    </row>
    <row r="43" customFormat="false" ht="102.2" hidden="false" customHeight="false" outlineLevel="0" collapsed="false">
      <c r="A43" s="5" t="s">
        <v>199</v>
      </c>
      <c r="B43" s="5" t="s">
        <v>22</v>
      </c>
      <c r="C43" s="5" t="s">
        <v>184</v>
      </c>
      <c r="D43" s="5" t="s">
        <v>39</v>
      </c>
      <c r="E43" s="5" t="s">
        <v>55</v>
      </c>
      <c r="F43" s="5" t="s">
        <v>48</v>
      </c>
      <c r="G43" s="5" t="n">
        <v>71</v>
      </c>
      <c r="H43" s="5" t="s">
        <v>200</v>
      </c>
      <c r="I43" s="5" t="s">
        <v>104</v>
      </c>
      <c r="J43" s="5" t="s">
        <v>201</v>
      </c>
      <c r="K43" s="5" t="n">
        <v>22</v>
      </c>
      <c r="L43" s="5" t="n">
        <v>9</v>
      </c>
      <c r="M43" s="2" t="s">
        <v>202</v>
      </c>
    </row>
    <row r="44" customFormat="false" ht="113.4" hidden="false" customHeight="false" outlineLevel="0" collapsed="false">
      <c r="A44" s="5" t="s">
        <v>203</v>
      </c>
      <c r="B44" s="5" t="s">
        <v>22</v>
      </c>
      <c r="C44" s="5" t="s">
        <v>184</v>
      </c>
      <c r="D44" s="5" t="s">
        <v>39</v>
      </c>
      <c r="E44" s="5" t="s">
        <v>55</v>
      </c>
      <c r="F44" s="5" t="s">
        <v>92</v>
      </c>
      <c r="G44" s="5" t="n">
        <v>107</v>
      </c>
      <c r="H44" s="5" t="s">
        <v>204</v>
      </c>
      <c r="I44" s="5" t="s">
        <v>104</v>
      </c>
      <c r="J44" s="5" t="s">
        <v>205</v>
      </c>
      <c r="K44" s="5" t="n">
        <v>23</v>
      </c>
      <c r="L44" s="5" t="n">
        <v>7</v>
      </c>
      <c r="M44" s="2" t="s">
        <v>206</v>
      </c>
    </row>
    <row r="45" customFormat="false" ht="15" hidden="false" customHeight="false" outlineLevel="0" collapsed="false">
      <c r="A45" s="5" t="s">
        <v>207</v>
      </c>
      <c r="B45" s="5" t="s">
        <v>22</v>
      </c>
      <c r="C45" s="5" t="s">
        <v>23</v>
      </c>
      <c r="D45" s="5" t="s">
        <v>24</v>
      </c>
      <c r="E45" s="5"/>
      <c r="F45" s="5"/>
      <c r="G45" s="5" t="n">
        <v>11</v>
      </c>
      <c r="H45" s="5" t="s">
        <v>208</v>
      </c>
      <c r="I45" s="5" t="s">
        <v>27</v>
      </c>
      <c r="J45" s="5"/>
      <c r="K45" s="5" t="n">
        <v>10</v>
      </c>
      <c r="L45" s="5" t="n">
        <v>8</v>
      </c>
      <c r="M45" s="2" t="s">
        <v>209</v>
      </c>
    </row>
    <row r="46" customFormat="false" ht="79.85" hidden="false" customHeight="false" outlineLevel="0" collapsed="false">
      <c r="A46" s="5" t="s">
        <v>210</v>
      </c>
      <c r="B46" s="5" t="s">
        <v>22</v>
      </c>
      <c r="C46" s="5" t="s">
        <v>30</v>
      </c>
      <c r="D46" s="5" t="s">
        <v>31</v>
      </c>
      <c r="E46" s="5" t="s">
        <v>47</v>
      </c>
      <c r="F46" s="5" t="s">
        <v>123</v>
      </c>
      <c r="G46" s="5" t="n">
        <v>86</v>
      </c>
      <c r="H46" s="5" t="s">
        <v>211</v>
      </c>
      <c r="I46" s="5" t="s">
        <v>41</v>
      </c>
      <c r="J46" s="5" t="s">
        <v>150</v>
      </c>
      <c r="K46" s="5" t="n">
        <v>20</v>
      </c>
      <c r="L46" s="5" t="n">
        <v>5</v>
      </c>
      <c r="M46" s="2" t="s">
        <v>212</v>
      </c>
    </row>
    <row r="47" customFormat="false" ht="79.85" hidden="false" customHeight="false" outlineLevel="0" collapsed="false">
      <c r="A47" s="5" t="s">
        <v>213</v>
      </c>
      <c r="B47" s="5" t="s">
        <v>22</v>
      </c>
      <c r="C47" s="5" t="s">
        <v>70</v>
      </c>
      <c r="D47" s="5" t="s">
        <v>71</v>
      </c>
      <c r="E47" s="5" t="s">
        <v>47</v>
      </c>
      <c r="F47" s="5" t="s">
        <v>92</v>
      </c>
      <c r="G47" s="5" t="n">
        <v>72</v>
      </c>
      <c r="H47" s="5" t="s">
        <v>214</v>
      </c>
      <c r="I47" s="5" t="s">
        <v>94</v>
      </c>
      <c r="J47" s="5" t="s">
        <v>215</v>
      </c>
      <c r="K47" s="5" t="n">
        <v>22</v>
      </c>
      <c r="L47" s="5" t="n">
        <v>8</v>
      </c>
      <c r="M47" s="2" t="s">
        <v>216</v>
      </c>
    </row>
    <row r="48" customFormat="false" ht="135.8" hidden="false" customHeight="false" outlineLevel="0" collapsed="false">
      <c r="A48" s="5" t="s">
        <v>217</v>
      </c>
      <c r="B48" s="5" t="s">
        <v>22</v>
      </c>
      <c r="C48" s="5" t="s">
        <v>110</v>
      </c>
      <c r="D48" s="5" t="s">
        <v>111</v>
      </c>
      <c r="E48" s="5" t="s">
        <v>47</v>
      </c>
      <c r="F48" s="5" t="s">
        <v>99</v>
      </c>
      <c r="G48" s="5" t="n">
        <v>131</v>
      </c>
      <c r="H48" s="5" t="s">
        <v>218</v>
      </c>
      <c r="I48" s="5" t="s">
        <v>34</v>
      </c>
      <c r="J48" s="5" t="s">
        <v>113</v>
      </c>
      <c r="K48" s="5" t="n">
        <v>25</v>
      </c>
      <c r="L48" s="5" t="n">
        <v>5</v>
      </c>
      <c r="M48" s="2" t="s">
        <v>219</v>
      </c>
    </row>
    <row r="49" customFormat="false" ht="91" hidden="false" customHeight="false" outlineLevel="0" collapsed="false">
      <c r="A49" s="5" t="s">
        <v>220</v>
      </c>
      <c r="B49" s="5" t="s">
        <v>22</v>
      </c>
      <c r="C49" s="5" t="s">
        <v>38</v>
      </c>
      <c r="D49" s="5" t="s">
        <v>39</v>
      </c>
      <c r="E49" s="5"/>
      <c r="F49" s="5" t="s">
        <v>25</v>
      </c>
      <c r="G49" s="5" t="n">
        <v>70</v>
      </c>
      <c r="H49" s="5" t="s">
        <v>40</v>
      </c>
      <c r="I49" s="5" t="s">
        <v>117</v>
      </c>
      <c r="J49" s="5" t="s">
        <v>42</v>
      </c>
      <c r="K49" s="5" t="n">
        <v>20</v>
      </c>
      <c r="L49" s="5" t="n">
        <v>7</v>
      </c>
      <c r="M49" s="2" t="s">
        <v>221</v>
      </c>
    </row>
    <row r="50" customFormat="false" ht="102.2" hidden="false" customHeight="false" outlineLevel="0" collapsed="false">
      <c r="A50" s="5" t="s">
        <v>222</v>
      </c>
      <c r="B50" s="5" t="s">
        <v>22</v>
      </c>
      <c r="C50" s="5" t="s">
        <v>223</v>
      </c>
      <c r="D50" s="5" t="s">
        <v>224</v>
      </c>
      <c r="E50" s="5" t="s">
        <v>32</v>
      </c>
      <c r="F50" s="5" t="s">
        <v>92</v>
      </c>
      <c r="G50" s="5" t="n">
        <v>94</v>
      </c>
      <c r="H50" s="5" t="s">
        <v>225</v>
      </c>
      <c r="I50" s="5" t="s">
        <v>41</v>
      </c>
      <c r="J50" s="5" t="s">
        <v>226</v>
      </c>
      <c r="K50" s="5" t="n">
        <v>20</v>
      </c>
      <c r="L50" s="5" t="n">
        <v>8</v>
      </c>
      <c r="M50" s="2" t="s">
        <v>227</v>
      </c>
    </row>
    <row r="51" customFormat="false" ht="158.2" hidden="false" customHeight="false" outlineLevel="0" collapsed="false">
      <c r="A51" s="5" t="s">
        <v>228</v>
      </c>
      <c r="B51" s="5" t="s">
        <v>54</v>
      </c>
      <c r="C51" s="5" t="s">
        <v>110</v>
      </c>
      <c r="D51" s="5" t="s">
        <v>111</v>
      </c>
      <c r="E51" s="5"/>
      <c r="F51" s="5" t="s">
        <v>25</v>
      </c>
      <c r="G51" s="5" t="n">
        <v>129</v>
      </c>
      <c r="H51" s="5" t="s">
        <v>229</v>
      </c>
      <c r="I51" s="5" t="s">
        <v>27</v>
      </c>
      <c r="J51" s="5" t="s">
        <v>113</v>
      </c>
      <c r="K51" s="5" t="n">
        <v>23</v>
      </c>
      <c r="L51" s="5" t="n">
        <v>5</v>
      </c>
      <c r="M51" s="2" t="s">
        <v>230</v>
      </c>
    </row>
    <row r="52" customFormat="false" ht="102.2" hidden="false" customHeight="false" outlineLevel="0" collapsed="false">
      <c r="A52" s="5" t="s">
        <v>231</v>
      </c>
      <c r="B52" s="5" t="s">
        <v>98</v>
      </c>
      <c r="C52" s="5" t="s">
        <v>70</v>
      </c>
      <c r="D52" s="5" t="s">
        <v>71</v>
      </c>
      <c r="E52" s="5" t="s">
        <v>32</v>
      </c>
      <c r="F52" s="5" t="s">
        <v>25</v>
      </c>
      <c r="G52" s="5" t="n">
        <v>77</v>
      </c>
      <c r="H52" s="5" t="s">
        <v>232</v>
      </c>
      <c r="I52" s="5" t="s">
        <v>135</v>
      </c>
      <c r="J52" s="5" t="s">
        <v>74</v>
      </c>
      <c r="K52" s="5" t="n">
        <v>22</v>
      </c>
      <c r="L52" s="5" t="n">
        <v>6</v>
      </c>
      <c r="M52" s="2" t="s">
        <v>233</v>
      </c>
    </row>
    <row r="53" customFormat="false" ht="102.2" hidden="false" customHeight="false" outlineLevel="0" collapsed="false">
      <c r="A53" s="5" t="s">
        <v>234</v>
      </c>
      <c r="B53" s="5" t="s">
        <v>22</v>
      </c>
      <c r="C53" s="5" t="s">
        <v>38</v>
      </c>
      <c r="D53" s="5" t="s">
        <v>39</v>
      </c>
      <c r="E53" s="5"/>
      <c r="F53" s="5" t="s">
        <v>92</v>
      </c>
      <c r="G53" s="5" t="n">
        <v>73</v>
      </c>
      <c r="H53" s="5" t="s">
        <v>235</v>
      </c>
      <c r="I53" s="5" t="s">
        <v>87</v>
      </c>
      <c r="J53" s="5" t="s">
        <v>42</v>
      </c>
      <c r="K53" s="5" t="n">
        <v>20</v>
      </c>
      <c r="L53" s="5" t="n">
        <v>7</v>
      </c>
      <c r="M53" s="2" t="s">
        <v>236</v>
      </c>
    </row>
    <row r="54" customFormat="false" ht="147" hidden="false" customHeight="false" outlineLevel="0" collapsed="false">
      <c r="A54" s="5" t="s">
        <v>237</v>
      </c>
      <c r="B54" s="5" t="s">
        <v>22</v>
      </c>
      <c r="C54" s="5" t="s">
        <v>77</v>
      </c>
      <c r="D54" s="5" t="s">
        <v>78</v>
      </c>
      <c r="E54" s="5" t="s">
        <v>32</v>
      </c>
      <c r="F54" s="5" t="s">
        <v>92</v>
      </c>
      <c r="G54" s="5" t="n">
        <v>120</v>
      </c>
      <c r="H54" s="5" t="s">
        <v>238</v>
      </c>
      <c r="I54" s="5" t="s">
        <v>73</v>
      </c>
      <c r="J54" s="5" t="s">
        <v>80</v>
      </c>
      <c r="K54" s="5" t="n">
        <v>22</v>
      </c>
      <c r="L54" s="5" t="n">
        <v>4</v>
      </c>
      <c r="M54" s="2" t="s">
        <v>239</v>
      </c>
    </row>
    <row r="55" customFormat="false" ht="91" hidden="false" customHeight="false" outlineLevel="0" collapsed="false">
      <c r="A55" s="5" t="s">
        <v>240</v>
      </c>
      <c r="B55" s="5" t="s">
        <v>22</v>
      </c>
      <c r="C55" s="5" t="s">
        <v>184</v>
      </c>
      <c r="D55" s="5" t="s">
        <v>39</v>
      </c>
      <c r="E55" s="5" t="s">
        <v>32</v>
      </c>
      <c r="F55" s="5" t="s">
        <v>99</v>
      </c>
      <c r="G55" s="5" t="n">
        <v>71</v>
      </c>
      <c r="H55" s="5" t="s">
        <v>241</v>
      </c>
      <c r="I55" s="5" t="s">
        <v>94</v>
      </c>
      <c r="J55" s="5" t="s">
        <v>201</v>
      </c>
      <c r="K55" s="5" t="n">
        <v>21</v>
      </c>
      <c r="L55" s="5" t="n">
        <v>9</v>
      </c>
      <c r="M55" s="2" t="s">
        <v>242</v>
      </c>
    </row>
    <row r="56" customFormat="false" ht="158.2" hidden="false" customHeight="false" outlineLevel="0" collapsed="false">
      <c r="A56" s="5" t="s">
        <v>243</v>
      </c>
      <c r="B56" s="5" t="s">
        <v>98</v>
      </c>
      <c r="C56" s="5" t="s">
        <v>60</v>
      </c>
      <c r="D56" s="5" t="s">
        <v>61</v>
      </c>
      <c r="E56" s="5" t="s">
        <v>32</v>
      </c>
      <c r="F56" s="5" t="s">
        <v>25</v>
      </c>
      <c r="G56" s="5" t="n">
        <v>111</v>
      </c>
      <c r="H56" s="5" t="s">
        <v>244</v>
      </c>
      <c r="I56" s="5" t="s">
        <v>117</v>
      </c>
      <c r="J56" s="5" t="s">
        <v>197</v>
      </c>
      <c r="K56" s="5" t="n">
        <v>22</v>
      </c>
      <c r="L56" s="5" t="n">
        <v>6</v>
      </c>
      <c r="M56" s="2" t="s">
        <v>245</v>
      </c>
    </row>
    <row r="57" customFormat="false" ht="135.8" hidden="false" customHeight="false" outlineLevel="0" collapsed="false">
      <c r="A57" s="5" t="s">
        <v>246</v>
      </c>
      <c r="B57" s="5" t="s">
        <v>22</v>
      </c>
      <c r="C57" s="5" t="s">
        <v>60</v>
      </c>
      <c r="D57" s="5" t="s">
        <v>61</v>
      </c>
      <c r="E57" s="5" t="s">
        <v>47</v>
      </c>
      <c r="F57" s="5"/>
      <c r="G57" s="5" t="n">
        <v>77</v>
      </c>
      <c r="H57" s="5" t="s">
        <v>247</v>
      </c>
      <c r="I57" s="5" t="s">
        <v>50</v>
      </c>
      <c r="J57" s="5" t="s">
        <v>165</v>
      </c>
      <c r="K57" s="5" t="n">
        <v>22</v>
      </c>
      <c r="L57" s="5" t="n">
        <v>5</v>
      </c>
      <c r="M57" s="2" t="s">
        <v>248</v>
      </c>
    </row>
    <row r="58" customFormat="false" ht="124.6" hidden="false" customHeight="false" outlineLevel="0" collapsed="false">
      <c r="A58" s="5" t="s">
        <v>249</v>
      </c>
      <c r="B58" s="5" t="s">
        <v>22</v>
      </c>
      <c r="C58" s="5" t="s">
        <v>45</v>
      </c>
      <c r="D58" s="5" t="s">
        <v>46</v>
      </c>
      <c r="E58" s="5"/>
      <c r="F58" s="5" t="s">
        <v>25</v>
      </c>
      <c r="G58" s="5" t="n">
        <v>78</v>
      </c>
      <c r="H58" s="5" t="s">
        <v>250</v>
      </c>
      <c r="I58" s="5" t="s">
        <v>34</v>
      </c>
      <c r="J58" s="5" t="s">
        <v>51</v>
      </c>
      <c r="K58" s="5" t="n">
        <v>21</v>
      </c>
      <c r="L58" s="5" t="n">
        <v>4</v>
      </c>
      <c r="M58" s="2" t="s">
        <v>251</v>
      </c>
    </row>
    <row r="59" customFormat="false" ht="124.6" hidden="false" customHeight="false" outlineLevel="0" collapsed="false">
      <c r="A59" s="5" t="s">
        <v>252</v>
      </c>
      <c r="B59" s="5" t="s">
        <v>22</v>
      </c>
      <c r="C59" s="5" t="s">
        <v>128</v>
      </c>
      <c r="D59" s="5" t="s">
        <v>129</v>
      </c>
      <c r="E59" s="5" t="s">
        <v>55</v>
      </c>
      <c r="F59" s="5" t="s">
        <v>25</v>
      </c>
      <c r="G59" s="5" t="n">
        <v>89</v>
      </c>
      <c r="H59" s="5" t="s">
        <v>253</v>
      </c>
      <c r="I59" s="5" t="s">
        <v>27</v>
      </c>
      <c r="J59" s="5" t="s">
        <v>130</v>
      </c>
      <c r="K59" s="5" t="n">
        <v>22</v>
      </c>
      <c r="L59" s="5" t="n">
        <v>7</v>
      </c>
      <c r="M59" s="2" t="s">
        <v>254</v>
      </c>
    </row>
    <row r="60" customFormat="false" ht="15" hidden="false" customHeight="false" outlineLevel="0" collapsed="false">
      <c r="A60" s="5" t="s">
        <v>255</v>
      </c>
      <c r="B60" s="5" t="s">
        <v>98</v>
      </c>
      <c r="C60" s="5" t="s">
        <v>23</v>
      </c>
      <c r="D60" s="5" t="s">
        <v>78</v>
      </c>
      <c r="E60" s="5"/>
      <c r="F60" s="5"/>
      <c r="G60" s="5" t="n">
        <v>12</v>
      </c>
      <c r="H60" s="5" t="s">
        <v>256</v>
      </c>
      <c r="I60" s="5" t="s">
        <v>34</v>
      </c>
      <c r="J60" s="5" t="s">
        <v>257</v>
      </c>
      <c r="K60" s="5" t="n">
        <v>10</v>
      </c>
      <c r="L60" s="5" t="n">
        <v>8</v>
      </c>
      <c r="M60" s="2" t="s">
        <v>258</v>
      </c>
    </row>
    <row r="61" customFormat="false" ht="79.85" hidden="false" customHeight="false" outlineLevel="0" collapsed="false">
      <c r="A61" s="5" t="s">
        <v>259</v>
      </c>
      <c r="B61" s="5" t="s">
        <v>22</v>
      </c>
      <c r="C61" s="5" t="s">
        <v>184</v>
      </c>
      <c r="D61" s="5" t="s">
        <v>39</v>
      </c>
      <c r="E61" s="5" t="s">
        <v>55</v>
      </c>
      <c r="F61" s="5" t="s">
        <v>162</v>
      </c>
      <c r="G61" s="5" t="n">
        <v>78</v>
      </c>
      <c r="H61" s="5" t="s">
        <v>260</v>
      </c>
      <c r="I61" s="5" t="s">
        <v>117</v>
      </c>
      <c r="J61" s="5" t="s">
        <v>261</v>
      </c>
      <c r="K61" s="5" t="n">
        <v>22</v>
      </c>
      <c r="L61" s="5" t="n">
        <v>7</v>
      </c>
      <c r="M61" s="2" t="s">
        <v>262</v>
      </c>
    </row>
    <row r="62" customFormat="false" ht="124.6" hidden="false" customHeight="false" outlineLevel="0" collapsed="false">
      <c r="A62" s="5" t="s">
        <v>263</v>
      </c>
      <c r="B62" s="5" t="s">
        <v>22</v>
      </c>
      <c r="C62" s="5" t="s">
        <v>60</v>
      </c>
      <c r="D62" s="5" t="s">
        <v>61</v>
      </c>
      <c r="E62" s="5" t="s">
        <v>55</v>
      </c>
      <c r="F62" s="5" t="s">
        <v>48</v>
      </c>
      <c r="G62" s="5" t="n">
        <v>102</v>
      </c>
      <c r="H62" s="5" t="s">
        <v>62</v>
      </c>
      <c r="I62" s="5" t="s">
        <v>41</v>
      </c>
      <c r="J62" s="5" t="s">
        <v>63</v>
      </c>
      <c r="K62" s="5" t="n">
        <v>21</v>
      </c>
      <c r="L62" s="5" t="n">
        <v>8</v>
      </c>
      <c r="M62" s="2" t="s">
        <v>264</v>
      </c>
    </row>
    <row r="63" customFormat="false" ht="102.2" hidden="false" customHeight="false" outlineLevel="0" collapsed="false">
      <c r="A63" s="5" t="s">
        <v>265</v>
      </c>
      <c r="B63" s="5" t="s">
        <v>98</v>
      </c>
      <c r="C63" s="5" t="s">
        <v>223</v>
      </c>
      <c r="D63" s="5" t="s">
        <v>224</v>
      </c>
      <c r="E63" s="5" t="s">
        <v>55</v>
      </c>
      <c r="F63" s="5" t="s">
        <v>92</v>
      </c>
      <c r="G63" s="5" t="n">
        <v>75</v>
      </c>
      <c r="H63" s="5" t="s">
        <v>57</v>
      </c>
      <c r="I63" s="5" t="s">
        <v>135</v>
      </c>
      <c r="J63" s="5" t="s">
        <v>226</v>
      </c>
      <c r="K63" s="5" t="n">
        <v>20</v>
      </c>
      <c r="L63" s="5" t="n">
        <v>7</v>
      </c>
      <c r="M63" s="2" t="s">
        <v>266</v>
      </c>
    </row>
    <row r="64" customFormat="false" ht="15" hidden="false" customHeight="false" outlineLevel="0" collapsed="false">
      <c r="A64" s="5" t="s">
        <v>267</v>
      </c>
      <c r="B64" s="5" t="s">
        <v>22</v>
      </c>
      <c r="C64" s="5" t="s">
        <v>23</v>
      </c>
      <c r="D64" s="5" t="s">
        <v>24</v>
      </c>
      <c r="E64" s="5"/>
      <c r="F64" s="5" t="s">
        <v>48</v>
      </c>
      <c r="G64" s="5" t="n">
        <v>18</v>
      </c>
      <c r="H64" s="5" t="s">
        <v>268</v>
      </c>
      <c r="I64" s="5" t="s">
        <v>41</v>
      </c>
      <c r="J64" s="5"/>
      <c r="K64" s="5" t="n">
        <v>10</v>
      </c>
      <c r="L64" s="5" t="n">
        <v>6</v>
      </c>
      <c r="M64" s="2" t="s">
        <v>269</v>
      </c>
    </row>
    <row r="65" customFormat="false" ht="15" hidden="false" customHeight="false" outlineLevel="0" collapsed="false">
      <c r="A65" s="5" t="s">
        <v>270</v>
      </c>
      <c r="B65" s="5" t="s">
        <v>22</v>
      </c>
      <c r="C65" s="5" t="s">
        <v>23</v>
      </c>
      <c r="D65" s="5" t="s">
        <v>111</v>
      </c>
      <c r="E65" s="5"/>
      <c r="F65" s="5" t="s">
        <v>48</v>
      </c>
      <c r="G65" s="5" t="n">
        <v>15</v>
      </c>
      <c r="H65" s="5" t="s">
        <v>271</v>
      </c>
      <c r="I65" s="5" t="s">
        <v>94</v>
      </c>
      <c r="J65" s="5" t="s">
        <v>111</v>
      </c>
      <c r="K65" s="5" t="n">
        <v>10</v>
      </c>
      <c r="L65" s="5" t="n">
        <v>7</v>
      </c>
      <c r="M65" s="2" t="s">
        <v>272</v>
      </c>
    </row>
    <row r="66" customFormat="false" ht="102.2" hidden="false" customHeight="false" outlineLevel="0" collapsed="false">
      <c r="A66" s="5" t="s">
        <v>273</v>
      </c>
      <c r="B66" s="5" t="s">
        <v>54</v>
      </c>
      <c r="C66" s="5" t="s">
        <v>184</v>
      </c>
      <c r="D66" s="5" t="s">
        <v>39</v>
      </c>
      <c r="E66" s="5" t="s">
        <v>32</v>
      </c>
      <c r="F66" s="5" t="s">
        <v>32</v>
      </c>
      <c r="G66" s="5" t="n">
        <v>101</v>
      </c>
      <c r="H66" s="5" t="s">
        <v>274</v>
      </c>
      <c r="I66" s="5" t="s">
        <v>67</v>
      </c>
      <c r="J66" s="5" t="s">
        <v>205</v>
      </c>
      <c r="K66" s="5" t="n">
        <v>21</v>
      </c>
      <c r="L66" s="5" t="n">
        <v>5</v>
      </c>
      <c r="M66" s="2" t="s">
        <v>275</v>
      </c>
    </row>
    <row r="67" customFormat="false" ht="124.6" hidden="false" customHeight="false" outlineLevel="0" collapsed="false">
      <c r="A67" s="5" t="s">
        <v>276</v>
      </c>
      <c r="B67" s="5" t="s">
        <v>22</v>
      </c>
      <c r="C67" s="5" t="s">
        <v>45</v>
      </c>
      <c r="D67" s="5" t="s">
        <v>46</v>
      </c>
      <c r="E67" s="5" t="s">
        <v>32</v>
      </c>
      <c r="F67" s="5" t="s">
        <v>148</v>
      </c>
      <c r="G67" s="5" t="n">
        <v>78</v>
      </c>
      <c r="H67" s="5" t="s">
        <v>277</v>
      </c>
      <c r="I67" s="5" t="s">
        <v>27</v>
      </c>
      <c r="J67" s="5" t="s">
        <v>51</v>
      </c>
      <c r="K67" s="5" t="n">
        <v>20</v>
      </c>
      <c r="L67" s="5" t="n">
        <v>8</v>
      </c>
      <c r="M67" s="2" t="s">
        <v>278</v>
      </c>
    </row>
    <row r="68" customFormat="false" ht="15" hidden="false" customHeight="false" outlineLevel="0" collapsed="false">
      <c r="A68" s="5" t="s">
        <v>279</v>
      </c>
      <c r="B68" s="5" t="s">
        <v>22</v>
      </c>
      <c r="C68" s="5" t="s">
        <v>23</v>
      </c>
      <c r="D68" s="5" t="s">
        <v>24</v>
      </c>
      <c r="E68" s="5"/>
      <c r="F68" s="5"/>
      <c r="G68" s="5" t="n">
        <v>16</v>
      </c>
      <c r="H68" s="5" t="s">
        <v>280</v>
      </c>
      <c r="I68" s="5" t="s">
        <v>67</v>
      </c>
      <c r="J68" s="5"/>
      <c r="K68" s="5" t="n">
        <v>10</v>
      </c>
      <c r="L68" s="5" t="n">
        <v>7</v>
      </c>
      <c r="M68" s="2" t="s">
        <v>281</v>
      </c>
    </row>
    <row r="69" customFormat="false" ht="79.85" hidden="false" customHeight="false" outlineLevel="0" collapsed="false">
      <c r="A69" s="5" t="s">
        <v>282</v>
      </c>
      <c r="B69" s="5" t="s">
        <v>54</v>
      </c>
      <c r="C69" s="5" t="s">
        <v>30</v>
      </c>
      <c r="D69" s="5" t="s">
        <v>31</v>
      </c>
      <c r="E69" s="5" t="s">
        <v>32</v>
      </c>
      <c r="F69" s="5" t="s">
        <v>92</v>
      </c>
      <c r="G69" s="5" t="n">
        <v>70</v>
      </c>
      <c r="H69" s="5" t="s">
        <v>283</v>
      </c>
      <c r="I69" s="5" t="s">
        <v>104</v>
      </c>
      <c r="J69" s="5" t="s">
        <v>284</v>
      </c>
      <c r="K69" s="5" t="n">
        <v>20</v>
      </c>
      <c r="L69" s="5" t="n">
        <v>6</v>
      </c>
      <c r="M69" s="2" t="s">
        <v>285</v>
      </c>
    </row>
    <row r="70" customFormat="false" ht="113.4" hidden="false" customHeight="false" outlineLevel="0" collapsed="false">
      <c r="A70" s="5" t="s">
        <v>286</v>
      </c>
      <c r="B70" s="5" t="s">
        <v>22</v>
      </c>
      <c r="C70" s="5" t="s">
        <v>38</v>
      </c>
      <c r="D70" s="5" t="s">
        <v>39</v>
      </c>
      <c r="E70" s="5" t="s">
        <v>32</v>
      </c>
      <c r="F70" s="5" t="s">
        <v>56</v>
      </c>
      <c r="G70" s="5" t="n">
        <v>97</v>
      </c>
      <c r="H70" s="5" t="s">
        <v>287</v>
      </c>
      <c r="I70" s="5" t="s">
        <v>50</v>
      </c>
      <c r="J70" s="5" t="s">
        <v>42</v>
      </c>
      <c r="K70" s="5" t="n">
        <v>23</v>
      </c>
      <c r="L70" s="5" t="n">
        <v>8</v>
      </c>
      <c r="M70" s="2" t="s">
        <v>288</v>
      </c>
    </row>
    <row r="71" customFormat="false" ht="102.2" hidden="false" customHeight="false" outlineLevel="0" collapsed="false">
      <c r="A71" s="5" t="s">
        <v>289</v>
      </c>
      <c r="B71" s="5" t="s">
        <v>22</v>
      </c>
      <c r="C71" s="5" t="s">
        <v>184</v>
      </c>
      <c r="D71" s="5" t="s">
        <v>39</v>
      </c>
      <c r="E71" s="5" t="s">
        <v>32</v>
      </c>
      <c r="F71" s="5" t="s">
        <v>99</v>
      </c>
      <c r="G71" s="5" t="n">
        <v>93</v>
      </c>
      <c r="H71" s="5" t="s">
        <v>290</v>
      </c>
      <c r="I71" s="5" t="s">
        <v>34</v>
      </c>
      <c r="J71" s="5"/>
      <c r="K71" s="5" t="n">
        <v>21</v>
      </c>
      <c r="L71" s="5" t="n">
        <v>7</v>
      </c>
      <c r="M71" s="2" t="s">
        <v>291</v>
      </c>
    </row>
    <row r="72" customFormat="false" ht="15" hidden="false" customHeight="false" outlineLevel="0" collapsed="false">
      <c r="A72" s="5" t="s">
        <v>292</v>
      </c>
      <c r="B72" s="5" t="s">
        <v>98</v>
      </c>
      <c r="C72" s="5" t="s">
        <v>23</v>
      </c>
      <c r="D72" s="5" t="s">
        <v>24</v>
      </c>
      <c r="E72" s="5"/>
      <c r="F72" s="5" t="s">
        <v>92</v>
      </c>
      <c r="G72" s="5" t="n">
        <v>18</v>
      </c>
      <c r="H72" s="5" t="s">
        <v>238</v>
      </c>
      <c r="I72" s="5" t="s">
        <v>73</v>
      </c>
      <c r="J72" s="5"/>
      <c r="K72" s="5" t="n">
        <v>10</v>
      </c>
      <c r="L72" s="5" t="n">
        <v>6</v>
      </c>
      <c r="M72" s="2" t="s">
        <v>293</v>
      </c>
    </row>
    <row r="73" customFormat="false" ht="124.6" hidden="false" customHeight="false" outlineLevel="0" collapsed="false">
      <c r="A73" s="5" t="s">
        <v>294</v>
      </c>
      <c r="B73" s="5" t="s">
        <v>22</v>
      </c>
      <c r="C73" s="5" t="s">
        <v>60</v>
      </c>
      <c r="D73" s="5" t="s">
        <v>61</v>
      </c>
      <c r="E73" s="5"/>
      <c r="F73" s="5" t="s">
        <v>162</v>
      </c>
      <c r="G73" s="5" t="n">
        <v>109</v>
      </c>
      <c r="H73" s="5" t="s">
        <v>188</v>
      </c>
      <c r="I73" s="5" t="s">
        <v>104</v>
      </c>
      <c r="J73" s="5" t="s">
        <v>295</v>
      </c>
      <c r="K73" s="5" t="n">
        <v>20</v>
      </c>
      <c r="L73" s="5" t="n">
        <v>4</v>
      </c>
      <c r="M73" s="2" t="s">
        <v>296</v>
      </c>
    </row>
    <row r="74" customFormat="false" ht="15" hidden="false" customHeight="false" outlineLevel="0" collapsed="false">
      <c r="A74" s="5" t="s">
        <v>297</v>
      </c>
      <c r="B74" s="5" t="s">
        <v>22</v>
      </c>
      <c r="C74" s="5" t="s">
        <v>23</v>
      </c>
      <c r="D74" s="5" t="s">
        <v>24</v>
      </c>
      <c r="E74" s="5"/>
      <c r="F74" s="5" t="s">
        <v>148</v>
      </c>
      <c r="G74" s="5" t="n">
        <v>18</v>
      </c>
      <c r="H74" s="5" t="s">
        <v>107</v>
      </c>
      <c r="I74" s="5" t="s">
        <v>41</v>
      </c>
      <c r="J74" s="5"/>
      <c r="K74" s="5" t="n">
        <v>10</v>
      </c>
      <c r="L74" s="5" t="n">
        <v>6</v>
      </c>
      <c r="M74" s="2" t="s">
        <v>298</v>
      </c>
    </row>
    <row r="75" customFormat="false" ht="135.8" hidden="false" customHeight="false" outlineLevel="0" collapsed="false">
      <c r="A75" s="5" t="s">
        <v>299</v>
      </c>
      <c r="B75" s="5" t="s">
        <v>98</v>
      </c>
      <c r="C75" s="5" t="s">
        <v>128</v>
      </c>
      <c r="D75" s="5" t="s">
        <v>129</v>
      </c>
      <c r="E75" s="5"/>
      <c r="F75" s="5" t="s">
        <v>133</v>
      </c>
      <c r="G75" s="5" t="n">
        <v>115</v>
      </c>
      <c r="H75" s="5" t="s">
        <v>175</v>
      </c>
      <c r="I75" s="5" t="s">
        <v>50</v>
      </c>
      <c r="J75" s="5" t="s">
        <v>130</v>
      </c>
      <c r="K75" s="5" t="n">
        <v>21</v>
      </c>
      <c r="L75" s="5" t="n">
        <v>5</v>
      </c>
      <c r="M75" s="2" t="s">
        <v>300</v>
      </c>
    </row>
    <row r="76" customFormat="false" ht="135.8" hidden="false" customHeight="false" outlineLevel="0" collapsed="false">
      <c r="A76" s="5" t="s">
        <v>301</v>
      </c>
      <c r="B76" s="5" t="s">
        <v>22</v>
      </c>
      <c r="C76" s="5" t="s">
        <v>90</v>
      </c>
      <c r="D76" s="5" t="s">
        <v>91</v>
      </c>
      <c r="E76" s="5" t="s">
        <v>47</v>
      </c>
      <c r="F76" s="5" t="s">
        <v>32</v>
      </c>
      <c r="G76" s="5" t="n">
        <v>71</v>
      </c>
      <c r="H76" s="5" t="s">
        <v>194</v>
      </c>
      <c r="I76" s="5" t="s">
        <v>41</v>
      </c>
      <c r="J76" s="5" t="s">
        <v>95</v>
      </c>
      <c r="K76" s="5" t="n">
        <v>21</v>
      </c>
      <c r="L76" s="5" t="n">
        <v>9</v>
      </c>
      <c r="M76" s="2" t="s">
        <v>302</v>
      </c>
    </row>
    <row r="77" customFormat="false" ht="135.8" hidden="false" customHeight="false" outlineLevel="0" collapsed="false">
      <c r="A77" s="5" t="s">
        <v>303</v>
      </c>
      <c r="B77" s="5" t="s">
        <v>22</v>
      </c>
      <c r="C77" s="5" t="s">
        <v>60</v>
      </c>
      <c r="D77" s="5" t="s">
        <v>61</v>
      </c>
      <c r="E77" s="5" t="s">
        <v>32</v>
      </c>
      <c r="F77" s="5" t="s">
        <v>162</v>
      </c>
      <c r="G77" s="5" t="n">
        <v>107</v>
      </c>
      <c r="H77" s="5" t="s">
        <v>304</v>
      </c>
      <c r="I77" s="5" t="s">
        <v>305</v>
      </c>
      <c r="J77" s="5" t="s">
        <v>197</v>
      </c>
      <c r="K77" s="5" t="n">
        <v>24</v>
      </c>
      <c r="L77" s="5" t="n">
        <v>5</v>
      </c>
      <c r="M77" s="2" t="s">
        <v>306</v>
      </c>
    </row>
    <row r="78" customFormat="false" ht="124.6" hidden="false" customHeight="false" outlineLevel="0" collapsed="false">
      <c r="A78" s="5" t="s">
        <v>307</v>
      </c>
      <c r="B78" s="5" t="s">
        <v>22</v>
      </c>
      <c r="C78" s="5" t="s">
        <v>45</v>
      </c>
      <c r="D78" s="5" t="s">
        <v>46</v>
      </c>
      <c r="E78" s="5" t="s">
        <v>47</v>
      </c>
      <c r="F78" s="5" t="s">
        <v>162</v>
      </c>
      <c r="G78" s="5" t="n">
        <v>97</v>
      </c>
      <c r="H78" s="5" t="s">
        <v>308</v>
      </c>
      <c r="I78" s="5" t="s">
        <v>41</v>
      </c>
      <c r="J78" s="5" t="s">
        <v>51</v>
      </c>
      <c r="K78" s="5" t="n">
        <v>22</v>
      </c>
      <c r="L78" s="5" t="n">
        <v>4</v>
      </c>
      <c r="M78" s="2" t="s">
        <v>309</v>
      </c>
    </row>
    <row r="79" customFormat="false" ht="169.4" hidden="false" customHeight="false" outlineLevel="0" collapsed="false">
      <c r="A79" s="5" t="s">
        <v>310</v>
      </c>
      <c r="B79" s="5" t="s">
        <v>98</v>
      </c>
      <c r="C79" s="5" t="s">
        <v>77</v>
      </c>
      <c r="D79" s="5" t="s">
        <v>78</v>
      </c>
      <c r="E79" s="5" t="s">
        <v>47</v>
      </c>
      <c r="F79" s="5" t="s">
        <v>92</v>
      </c>
      <c r="G79" s="5" t="n">
        <v>131</v>
      </c>
      <c r="H79" s="5" t="s">
        <v>311</v>
      </c>
      <c r="I79" s="5" t="s">
        <v>135</v>
      </c>
      <c r="J79" s="5" t="s">
        <v>80</v>
      </c>
      <c r="K79" s="5" t="n">
        <v>22</v>
      </c>
      <c r="L79" s="5" t="n">
        <v>2</v>
      </c>
      <c r="M79" s="2" t="s">
        <v>312</v>
      </c>
    </row>
    <row r="80" customFormat="false" ht="91" hidden="false" customHeight="false" outlineLevel="0" collapsed="false">
      <c r="A80" s="5" t="s">
        <v>313</v>
      </c>
      <c r="B80" s="5" t="s">
        <v>98</v>
      </c>
      <c r="C80" s="5" t="s">
        <v>184</v>
      </c>
      <c r="D80" s="5" t="s">
        <v>39</v>
      </c>
      <c r="E80" s="5" t="s">
        <v>55</v>
      </c>
      <c r="F80" s="5" t="s">
        <v>92</v>
      </c>
      <c r="G80" s="5" t="n">
        <v>76</v>
      </c>
      <c r="H80" s="5" t="s">
        <v>314</v>
      </c>
      <c r="I80" s="5" t="s">
        <v>117</v>
      </c>
      <c r="J80" s="5" t="s">
        <v>201</v>
      </c>
      <c r="K80" s="5" t="n">
        <v>21</v>
      </c>
      <c r="L80" s="5" t="n">
        <v>5</v>
      </c>
      <c r="M80" s="2" t="s">
        <v>315</v>
      </c>
    </row>
    <row r="81" customFormat="false" ht="102.2" hidden="false" customHeight="false" outlineLevel="0" collapsed="false">
      <c r="A81" s="5" t="s">
        <v>316</v>
      </c>
      <c r="B81" s="5" t="s">
        <v>22</v>
      </c>
      <c r="C81" s="5" t="s">
        <v>184</v>
      </c>
      <c r="D81" s="5" t="s">
        <v>39</v>
      </c>
      <c r="E81" s="5" t="s">
        <v>32</v>
      </c>
      <c r="F81" s="5" t="s">
        <v>123</v>
      </c>
      <c r="G81" s="5" t="n">
        <v>94</v>
      </c>
      <c r="H81" s="5" t="s">
        <v>100</v>
      </c>
      <c r="I81" s="5" t="s">
        <v>50</v>
      </c>
      <c r="J81" s="5" t="s">
        <v>261</v>
      </c>
      <c r="K81" s="5" t="n">
        <v>23</v>
      </c>
      <c r="L81" s="5" t="n">
        <v>6</v>
      </c>
      <c r="M81" s="2" t="s">
        <v>317</v>
      </c>
    </row>
    <row r="82" customFormat="false" ht="68.65" hidden="false" customHeight="false" outlineLevel="0" collapsed="false">
      <c r="A82" s="5" t="s">
        <v>318</v>
      </c>
      <c r="B82" s="5" t="s">
        <v>22</v>
      </c>
      <c r="C82" s="5" t="s">
        <v>30</v>
      </c>
      <c r="D82" s="5" t="s">
        <v>31</v>
      </c>
      <c r="E82" s="5"/>
      <c r="F82" s="5"/>
      <c r="G82" s="5" t="n">
        <v>76</v>
      </c>
      <c r="H82" s="5" t="s">
        <v>247</v>
      </c>
      <c r="I82" s="5" t="s">
        <v>73</v>
      </c>
      <c r="J82" s="5" t="s">
        <v>35</v>
      </c>
      <c r="K82" s="5" t="n">
        <v>20</v>
      </c>
      <c r="L82" s="5" t="n">
        <v>5</v>
      </c>
      <c r="M82" s="2" t="s">
        <v>319</v>
      </c>
    </row>
    <row r="83" customFormat="false" ht="79.85" hidden="false" customHeight="false" outlineLevel="0" collapsed="false">
      <c r="A83" s="5" t="s">
        <v>320</v>
      </c>
      <c r="B83" s="5" t="s">
        <v>22</v>
      </c>
      <c r="C83" s="5" t="s">
        <v>70</v>
      </c>
      <c r="D83" s="5" t="s">
        <v>71</v>
      </c>
      <c r="E83" s="5" t="s">
        <v>32</v>
      </c>
      <c r="F83" s="5"/>
      <c r="G83" s="5" t="n">
        <v>76</v>
      </c>
      <c r="H83" s="5" t="s">
        <v>33</v>
      </c>
      <c r="I83" s="5" t="s">
        <v>27</v>
      </c>
      <c r="J83" s="5" t="s">
        <v>125</v>
      </c>
      <c r="K83" s="5" t="n">
        <v>20</v>
      </c>
      <c r="L83" s="5" t="n">
        <v>7</v>
      </c>
      <c r="M83" s="2" t="s">
        <v>321</v>
      </c>
    </row>
    <row r="84" customFormat="false" ht="158.2" hidden="false" customHeight="false" outlineLevel="0" collapsed="false">
      <c r="A84" s="5" t="s">
        <v>322</v>
      </c>
      <c r="B84" s="5" t="s">
        <v>22</v>
      </c>
      <c r="C84" s="5" t="s">
        <v>60</v>
      </c>
      <c r="D84" s="5" t="s">
        <v>61</v>
      </c>
      <c r="E84" s="5" t="s">
        <v>47</v>
      </c>
      <c r="F84" s="5" t="s">
        <v>99</v>
      </c>
      <c r="G84" s="5" t="n">
        <v>114</v>
      </c>
      <c r="H84" s="5" t="s">
        <v>225</v>
      </c>
      <c r="I84" s="5" t="s">
        <v>87</v>
      </c>
      <c r="J84" s="5" t="s">
        <v>63</v>
      </c>
      <c r="K84" s="5" t="n">
        <v>22</v>
      </c>
      <c r="L84" s="5" t="n">
        <v>6</v>
      </c>
      <c r="M84" s="2" t="s">
        <v>323</v>
      </c>
    </row>
    <row r="85" customFormat="false" ht="79.85" hidden="false" customHeight="false" outlineLevel="0" collapsed="false">
      <c r="A85" s="5" t="s">
        <v>324</v>
      </c>
      <c r="B85" s="5" t="s">
        <v>22</v>
      </c>
      <c r="C85" s="5" t="s">
        <v>30</v>
      </c>
      <c r="D85" s="5" t="s">
        <v>31</v>
      </c>
      <c r="E85" s="5" t="s">
        <v>55</v>
      </c>
      <c r="F85" s="5" t="s">
        <v>92</v>
      </c>
      <c r="G85" s="5" t="n">
        <v>85</v>
      </c>
      <c r="H85" s="5" t="s">
        <v>325</v>
      </c>
      <c r="I85" s="5" t="s">
        <v>34</v>
      </c>
      <c r="J85" s="5" t="s">
        <v>35</v>
      </c>
      <c r="K85" s="5" t="n">
        <v>20</v>
      </c>
      <c r="L85" s="5" t="n">
        <v>5</v>
      </c>
      <c r="M85" s="2" t="s">
        <v>326</v>
      </c>
    </row>
    <row r="86" customFormat="false" ht="135.8" hidden="false" customHeight="false" outlineLevel="0" collapsed="false">
      <c r="A86" s="5" t="s">
        <v>327</v>
      </c>
      <c r="B86" s="5" t="s">
        <v>98</v>
      </c>
      <c r="C86" s="5" t="s">
        <v>45</v>
      </c>
      <c r="D86" s="5" t="s">
        <v>46</v>
      </c>
      <c r="E86" s="5" t="s">
        <v>47</v>
      </c>
      <c r="F86" s="5"/>
      <c r="G86" s="5" t="n">
        <v>85</v>
      </c>
      <c r="H86" s="5" t="s">
        <v>328</v>
      </c>
      <c r="I86" s="5" t="s">
        <v>50</v>
      </c>
      <c r="J86" s="5" t="s">
        <v>51</v>
      </c>
      <c r="K86" s="5" t="n">
        <v>21</v>
      </c>
      <c r="L86" s="5" t="n">
        <v>6</v>
      </c>
      <c r="M86" s="2" t="s">
        <v>329</v>
      </c>
    </row>
    <row r="87" customFormat="false" ht="169.4" hidden="false" customHeight="false" outlineLevel="0" collapsed="false">
      <c r="A87" s="5" t="s">
        <v>330</v>
      </c>
      <c r="B87" s="5" t="s">
        <v>54</v>
      </c>
      <c r="C87" s="5" t="s">
        <v>77</v>
      </c>
      <c r="D87" s="5" t="s">
        <v>78</v>
      </c>
      <c r="E87" s="5" t="s">
        <v>32</v>
      </c>
      <c r="F87" s="5" t="s">
        <v>123</v>
      </c>
      <c r="G87" s="5" t="n">
        <v>139</v>
      </c>
      <c r="H87" s="5" t="s">
        <v>331</v>
      </c>
      <c r="I87" s="5" t="s">
        <v>73</v>
      </c>
      <c r="J87" s="5" t="s">
        <v>80</v>
      </c>
      <c r="K87" s="5" t="n">
        <v>22</v>
      </c>
      <c r="L87" s="5" t="n">
        <v>3</v>
      </c>
      <c r="M87" s="2" t="s">
        <v>332</v>
      </c>
    </row>
    <row r="88" customFormat="false" ht="15" hidden="false" customHeight="false" outlineLevel="0" collapsed="false">
      <c r="A88" s="5" t="s">
        <v>333</v>
      </c>
      <c r="B88" s="5" t="s">
        <v>54</v>
      </c>
      <c r="C88" s="5" t="s">
        <v>23</v>
      </c>
      <c r="D88" s="5" t="s">
        <v>24</v>
      </c>
      <c r="E88" s="5"/>
      <c r="F88" s="5"/>
      <c r="G88" s="5" t="n">
        <v>9</v>
      </c>
      <c r="H88" s="5" t="s">
        <v>334</v>
      </c>
      <c r="I88" s="5" t="s">
        <v>94</v>
      </c>
      <c r="J88" s="5"/>
      <c r="K88" s="5" t="n">
        <v>10</v>
      </c>
      <c r="L88" s="5" t="n">
        <v>9</v>
      </c>
      <c r="M88" s="2" t="s">
        <v>335</v>
      </c>
    </row>
    <row r="89" customFormat="false" ht="113.4" hidden="false" customHeight="false" outlineLevel="0" collapsed="false">
      <c r="A89" s="5" t="s">
        <v>336</v>
      </c>
      <c r="B89" s="5" t="s">
        <v>22</v>
      </c>
      <c r="C89" s="5" t="s">
        <v>90</v>
      </c>
      <c r="D89" s="5" t="s">
        <v>91</v>
      </c>
      <c r="E89" s="5"/>
      <c r="F89" s="5" t="s">
        <v>56</v>
      </c>
      <c r="G89" s="5" t="n">
        <v>71</v>
      </c>
      <c r="H89" s="5" t="s">
        <v>337</v>
      </c>
      <c r="I89" s="5" t="s">
        <v>94</v>
      </c>
      <c r="J89" s="5" t="s">
        <v>95</v>
      </c>
      <c r="K89" s="5" t="n">
        <v>21</v>
      </c>
      <c r="L89" s="5" t="n">
        <v>12</v>
      </c>
      <c r="M89" s="2" t="s">
        <v>338</v>
      </c>
    </row>
    <row r="90" customFormat="false" ht="124.6" hidden="false" customHeight="false" outlineLevel="0" collapsed="false">
      <c r="A90" s="5" t="s">
        <v>339</v>
      </c>
      <c r="B90" s="5" t="s">
        <v>22</v>
      </c>
      <c r="C90" s="5" t="s">
        <v>38</v>
      </c>
      <c r="D90" s="5" t="s">
        <v>39</v>
      </c>
      <c r="E90" s="5" t="s">
        <v>32</v>
      </c>
      <c r="F90" s="5" t="s">
        <v>99</v>
      </c>
      <c r="G90" s="5" t="n">
        <v>109</v>
      </c>
      <c r="H90" s="5" t="s">
        <v>340</v>
      </c>
      <c r="I90" s="5" t="s">
        <v>135</v>
      </c>
      <c r="J90" s="5" t="s">
        <v>42</v>
      </c>
      <c r="K90" s="5" t="n">
        <v>23</v>
      </c>
      <c r="L90" s="5" t="n">
        <v>6</v>
      </c>
      <c r="M90" s="2" t="s">
        <v>341</v>
      </c>
    </row>
    <row r="91" customFormat="false" ht="15" hidden="false" customHeight="false" outlineLevel="0" collapsed="false">
      <c r="A91" s="5" t="s">
        <v>342</v>
      </c>
      <c r="B91" s="5" t="s">
        <v>54</v>
      </c>
      <c r="C91" s="5" t="s">
        <v>23</v>
      </c>
      <c r="D91" s="5" t="s">
        <v>46</v>
      </c>
      <c r="E91" s="5"/>
      <c r="F91" s="5" t="s">
        <v>162</v>
      </c>
      <c r="G91" s="5" t="n">
        <v>16</v>
      </c>
      <c r="H91" s="5" t="s">
        <v>343</v>
      </c>
      <c r="I91" s="5" t="s">
        <v>94</v>
      </c>
      <c r="J91" s="5" t="s">
        <v>344</v>
      </c>
      <c r="K91" s="5" t="n">
        <v>10</v>
      </c>
      <c r="L91" s="5" t="n">
        <v>7</v>
      </c>
      <c r="M91" s="2" t="s">
        <v>345</v>
      </c>
    </row>
    <row r="92" customFormat="false" ht="91" hidden="false" customHeight="false" outlineLevel="0" collapsed="false">
      <c r="A92" s="5" t="s">
        <v>346</v>
      </c>
      <c r="B92" s="5" t="s">
        <v>22</v>
      </c>
      <c r="C92" s="5" t="s">
        <v>184</v>
      </c>
      <c r="D92" s="5" t="s">
        <v>39</v>
      </c>
      <c r="E92" s="5" t="s">
        <v>32</v>
      </c>
      <c r="F92" s="5" t="s">
        <v>25</v>
      </c>
      <c r="G92" s="5" t="n">
        <v>83</v>
      </c>
      <c r="H92" s="5" t="s">
        <v>347</v>
      </c>
      <c r="I92" s="5" t="s">
        <v>67</v>
      </c>
      <c r="J92" s="5" t="s">
        <v>348</v>
      </c>
      <c r="K92" s="5" t="n">
        <v>22</v>
      </c>
      <c r="L92" s="5" t="n">
        <v>6</v>
      </c>
      <c r="M92" s="2" t="s">
        <v>349</v>
      </c>
    </row>
    <row r="93" customFormat="false" ht="135.8" hidden="false" customHeight="false" outlineLevel="0" collapsed="false">
      <c r="A93" s="5" t="s">
        <v>350</v>
      </c>
      <c r="B93" s="5" t="s">
        <v>22</v>
      </c>
      <c r="C93" s="5" t="s">
        <v>45</v>
      </c>
      <c r="D93" s="5" t="s">
        <v>46</v>
      </c>
      <c r="E93" s="5"/>
      <c r="F93" s="5" t="s">
        <v>162</v>
      </c>
      <c r="G93" s="5" t="n">
        <v>114</v>
      </c>
      <c r="H93" s="5" t="s">
        <v>351</v>
      </c>
      <c r="I93" s="5" t="s">
        <v>305</v>
      </c>
      <c r="J93" s="5" t="s">
        <v>51</v>
      </c>
      <c r="K93" s="5" t="n">
        <v>20</v>
      </c>
      <c r="L93" s="5" t="n">
        <v>4</v>
      </c>
      <c r="M93" s="2" t="s">
        <v>352</v>
      </c>
    </row>
    <row r="94" customFormat="false" ht="91" hidden="false" customHeight="false" outlineLevel="0" collapsed="false">
      <c r="A94" s="5" t="s">
        <v>353</v>
      </c>
      <c r="B94" s="5" t="s">
        <v>22</v>
      </c>
      <c r="C94" s="5" t="s">
        <v>70</v>
      </c>
      <c r="D94" s="5" t="s">
        <v>71</v>
      </c>
      <c r="E94" s="5" t="s">
        <v>47</v>
      </c>
      <c r="F94" s="5"/>
      <c r="G94" s="5" t="n">
        <v>68</v>
      </c>
      <c r="H94" s="5" t="s">
        <v>340</v>
      </c>
      <c r="I94" s="5" t="s">
        <v>34</v>
      </c>
      <c r="J94" s="5" t="s">
        <v>70</v>
      </c>
      <c r="K94" s="5" t="n">
        <v>23</v>
      </c>
      <c r="L94" s="5" t="n">
        <v>7</v>
      </c>
      <c r="M94" s="2" t="s">
        <v>354</v>
      </c>
    </row>
    <row r="95" customFormat="false" ht="135.8" hidden="false" customHeight="false" outlineLevel="0" collapsed="false">
      <c r="A95" s="5" t="s">
        <v>355</v>
      </c>
      <c r="B95" s="5" t="s">
        <v>98</v>
      </c>
      <c r="C95" s="5" t="s">
        <v>90</v>
      </c>
      <c r="D95" s="5" t="s">
        <v>91</v>
      </c>
      <c r="E95" s="5" t="s">
        <v>47</v>
      </c>
      <c r="F95" s="5" t="s">
        <v>162</v>
      </c>
      <c r="G95" s="5" t="n">
        <v>77</v>
      </c>
      <c r="H95" s="5" t="s">
        <v>356</v>
      </c>
      <c r="I95" s="5" t="s">
        <v>27</v>
      </c>
      <c r="J95" s="5" t="s">
        <v>95</v>
      </c>
      <c r="K95" s="5" t="n">
        <v>20</v>
      </c>
      <c r="L95" s="5" t="n">
        <v>11</v>
      </c>
      <c r="M95" s="2" t="s">
        <v>357</v>
      </c>
    </row>
    <row r="96" customFormat="false" ht="91" hidden="false" customHeight="false" outlineLevel="0" collapsed="false">
      <c r="A96" s="5" t="s">
        <v>358</v>
      </c>
      <c r="B96" s="5" t="s">
        <v>54</v>
      </c>
      <c r="C96" s="5" t="s">
        <v>70</v>
      </c>
      <c r="D96" s="5" t="s">
        <v>71</v>
      </c>
      <c r="E96" s="5"/>
      <c r="F96" s="5" t="s">
        <v>48</v>
      </c>
      <c r="G96" s="5" t="n">
        <v>67</v>
      </c>
      <c r="H96" s="5" t="s">
        <v>214</v>
      </c>
      <c r="I96" s="5" t="s">
        <v>135</v>
      </c>
      <c r="J96" s="5" t="s">
        <v>125</v>
      </c>
      <c r="K96" s="5" t="n">
        <v>21</v>
      </c>
      <c r="L96" s="5" t="n">
        <v>7</v>
      </c>
      <c r="M96" s="2" t="s">
        <v>359</v>
      </c>
    </row>
    <row r="97" customFormat="false" ht="113.4" hidden="false" customHeight="false" outlineLevel="0" collapsed="false">
      <c r="A97" s="5" t="s">
        <v>360</v>
      </c>
      <c r="B97" s="5" t="s">
        <v>22</v>
      </c>
      <c r="C97" s="5" t="s">
        <v>45</v>
      </c>
      <c r="D97" s="5" t="s">
        <v>46</v>
      </c>
      <c r="E97" s="5"/>
      <c r="F97" s="5" t="s">
        <v>99</v>
      </c>
      <c r="G97" s="5" t="n">
        <v>82</v>
      </c>
      <c r="H97" s="5" t="s">
        <v>361</v>
      </c>
      <c r="I97" s="5" t="s">
        <v>135</v>
      </c>
      <c r="J97" s="5" t="s">
        <v>51</v>
      </c>
      <c r="K97" s="5" t="n">
        <v>19</v>
      </c>
      <c r="L97" s="5" t="n">
        <v>3</v>
      </c>
      <c r="M97" s="2" t="s">
        <v>362</v>
      </c>
    </row>
    <row r="98" customFormat="false" ht="113.4" hidden="false" customHeight="false" outlineLevel="0" collapsed="false">
      <c r="A98" s="5" t="s">
        <v>363</v>
      </c>
      <c r="B98" s="5" t="s">
        <v>22</v>
      </c>
      <c r="C98" s="5" t="s">
        <v>184</v>
      </c>
      <c r="D98" s="5" t="s">
        <v>39</v>
      </c>
      <c r="E98" s="5" t="s">
        <v>55</v>
      </c>
      <c r="F98" s="5" t="s">
        <v>92</v>
      </c>
      <c r="G98" s="5" t="n">
        <v>94</v>
      </c>
      <c r="H98" s="5" t="s">
        <v>347</v>
      </c>
      <c r="I98" s="5" t="s">
        <v>34</v>
      </c>
      <c r="J98" s="5" t="s">
        <v>201</v>
      </c>
      <c r="K98" s="5" t="n">
        <v>21</v>
      </c>
      <c r="L98" s="5" t="n">
        <v>7</v>
      </c>
      <c r="M98" s="2" t="s">
        <v>364</v>
      </c>
    </row>
    <row r="99" customFormat="false" ht="15" hidden="false" customHeight="false" outlineLevel="0" collapsed="false">
      <c r="A99" s="5" t="s">
        <v>365</v>
      </c>
      <c r="B99" s="5" t="s">
        <v>22</v>
      </c>
      <c r="C99" s="5" t="s">
        <v>23</v>
      </c>
      <c r="D99" s="5" t="s">
        <v>61</v>
      </c>
      <c r="E99" s="5"/>
      <c r="F99" s="5"/>
      <c r="G99" s="5" t="n">
        <v>10</v>
      </c>
      <c r="H99" s="5" t="s">
        <v>366</v>
      </c>
      <c r="I99" s="5" t="s">
        <v>73</v>
      </c>
      <c r="J99" s="5" t="s">
        <v>60</v>
      </c>
      <c r="K99" s="5" t="n">
        <v>10</v>
      </c>
      <c r="L99" s="5" t="n">
        <v>8</v>
      </c>
      <c r="M99" s="2" t="s">
        <v>367</v>
      </c>
    </row>
    <row r="100" customFormat="false" ht="147" hidden="false" customHeight="false" outlineLevel="0" collapsed="false">
      <c r="A100" s="5" t="s">
        <v>368</v>
      </c>
      <c r="B100" s="5" t="s">
        <v>98</v>
      </c>
      <c r="C100" s="5" t="s">
        <v>110</v>
      </c>
      <c r="D100" s="5" t="s">
        <v>111</v>
      </c>
      <c r="E100" s="5" t="s">
        <v>47</v>
      </c>
      <c r="F100" s="5" t="s">
        <v>92</v>
      </c>
      <c r="G100" s="5" t="n">
        <v>138</v>
      </c>
      <c r="H100" s="5" t="s">
        <v>369</v>
      </c>
      <c r="I100" s="5" t="s">
        <v>67</v>
      </c>
      <c r="J100" s="5" t="s">
        <v>113</v>
      </c>
      <c r="K100" s="5" t="n">
        <v>25</v>
      </c>
      <c r="L100" s="5" t="n">
        <v>6</v>
      </c>
      <c r="M100" s="2" t="s">
        <v>370</v>
      </c>
    </row>
    <row r="101" customFormat="false" ht="102.2" hidden="false" customHeight="false" outlineLevel="0" collapsed="false">
      <c r="A101" s="5" t="s">
        <v>371</v>
      </c>
      <c r="B101" s="5" t="s">
        <v>22</v>
      </c>
      <c r="C101" s="5" t="s">
        <v>184</v>
      </c>
      <c r="D101" s="5" t="s">
        <v>39</v>
      </c>
      <c r="E101" s="5" t="s">
        <v>32</v>
      </c>
      <c r="F101" s="5" t="s">
        <v>48</v>
      </c>
      <c r="G101" s="5" t="n">
        <v>97</v>
      </c>
      <c r="H101" s="5" t="s">
        <v>372</v>
      </c>
      <c r="I101" s="5" t="s">
        <v>27</v>
      </c>
      <c r="J101" s="5"/>
      <c r="K101" s="5" t="n">
        <v>20</v>
      </c>
      <c r="L101" s="5" t="n">
        <v>6</v>
      </c>
      <c r="M101" s="2" t="s">
        <v>373</v>
      </c>
    </row>
    <row r="102" customFormat="false" ht="15" hidden="false" customHeight="false" outlineLevel="0" collapsed="false">
      <c r="A102" s="5" t="s">
        <v>374</v>
      </c>
      <c r="B102" s="5" t="s">
        <v>98</v>
      </c>
      <c r="C102" s="5" t="s">
        <v>23</v>
      </c>
      <c r="D102" s="5" t="s">
        <v>24</v>
      </c>
      <c r="E102" s="5"/>
      <c r="F102" s="5"/>
      <c r="G102" s="5" t="n">
        <v>16</v>
      </c>
      <c r="H102" s="5" t="s">
        <v>347</v>
      </c>
      <c r="I102" s="5" t="s">
        <v>67</v>
      </c>
      <c r="J102" s="5"/>
      <c r="K102" s="5" t="n">
        <v>10</v>
      </c>
      <c r="L102" s="5" t="n">
        <v>7</v>
      </c>
      <c r="M102" s="2" t="s">
        <v>375</v>
      </c>
    </row>
    <row r="103" customFormat="false" ht="147" hidden="false" customHeight="false" outlineLevel="0" collapsed="false">
      <c r="A103" s="5" t="s">
        <v>376</v>
      </c>
      <c r="B103" s="5" t="s">
        <v>22</v>
      </c>
      <c r="C103" s="5" t="s">
        <v>110</v>
      </c>
      <c r="D103" s="5" t="s">
        <v>111</v>
      </c>
      <c r="E103" s="5" t="s">
        <v>32</v>
      </c>
      <c r="F103" s="5" t="s">
        <v>148</v>
      </c>
      <c r="G103" s="5" t="n">
        <v>129</v>
      </c>
      <c r="H103" s="5" t="s">
        <v>377</v>
      </c>
      <c r="I103" s="5" t="s">
        <v>41</v>
      </c>
      <c r="J103" s="5" t="s">
        <v>113</v>
      </c>
      <c r="K103" s="5" t="n">
        <v>26</v>
      </c>
      <c r="L103" s="5" t="n">
        <v>4</v>
      </c>
      <c r="M103" s="2" t="s">
        <v>378</v>
      </c>
    </row>
    <row r="104" customFormat="false" ht="15" hidden="false" customHeight="false" outlineLevel="0" collapsed="false">
      <c r="A104" s="5" t="s">
        <v>379</v>
      </c>
      <c r="B104" s="5" t="s">
        <v>54</v>
      </c>
      <c r="C104" s="5" t="s">
        <v>23</v>
      </c>
      <c r="D104" s="5" t="s">
        <v>24</v>
      </c>
      <c r="E104" s="5"/>
      <c r="F104" s="5" t="s">
        <v>133</v>
      </c>
      <c r="G104" s="5" t="n">
        <v>13</v>
      </c>
      <c r="H104" s="5" t="s">
        <v>380</v>
      </c>
      <c r="I104" s="5" t="s">
        <v>50</v>
      </c>
      <c r="J104" s="5"/>
      <c r="K104" s="5" t="n">
        <v>10</v>
      </c>
      <c r="L104" s="5" t="n">
        <v>7</v>
      </c>
      <c r="M104" s="2" t="s">
        <v>381</v>
      </c>
    </row>
    <row r="105" customFormat="false" ht="124.6" hidden="false" customHeight="false" outlineLevel="0" collapsed="false">
      <c r="A105" s="5" t="s">
        <v>382</v>
      </c>
      <c r="B105" s="5" t="s">
        <v>22</v>
      </c>
      <c r="C105" s="5" t="s">
        <v>77</v>
      </c>
      <c r="D105" s="5" t="s">
        <v>78</v>
      </c>
      <c r="E105" s="5" t="s">
        <v>32</v>
      </c>
      <c r="F105" s="5"/>
      <c r="G105" s="5" t="n">
        <v>105</v>
      </c>
      <c r="H105" s="5" t="s">
        <v>383</v>
      </c>
      <c r="I105" s="5" t="s">
        <v>305</v>
      </c>
      <c r="J105" s="5" t="s">
        <v>80</v>
      </c>
      <c r="K105" s="5" t="n">
        <v>22</v>
      </c>
      <c r="L105" s="5" t="n">
        <v>5</v>
      </c>
      <c r="M105" s="2" t="s">
        <v>384</v>
      </c>
    </row>
    <row r="106" customFormat="false" ht="124.6" hidden="false" customHeight="false" outlineLevel="0" collapsed="false">
      <c r="A106" s="5" t="s">
        <v>385</v>
      </c>
      <c r="B106" s="5" t="s">
        <v>22</v>
      </c>
      <c r="C106" s="5" t="s">
        <v>45</v>
      </c>
      <c r="D106" s="5" t="s">
        <v>46</v>
      </c>
      <c r="E106" s="5"/>
      <c r="F106" s="5" t="s">
        <v>133</v>
      </c>
      <c r="G106" s="5" t="n">
        <v>91</v>
      </c>
      <c r="H106" s="5" t="s">
        <v>386</v>
      </c>
      <c r="I106" s="5" t="s">
        <v>67</v>
      </c>
      <c r="J106" s="5" t="s">
        <v>51</v>
      </c>
      <c r="K106" s="5" t="n">
        <v>19</v>
      </c>
      <c r="L106" s="5" t="n">
        <v>5</v>
      </c>
      <c r="M106" s="2" t="s">
        <v>387</v>
      </c>
    </row>
    <row r="107" customFormat="false" ht="135.8" hidden="false" customHeight="false" outlineLevel="0" collapsed="false">
      <c r="A107" s="5" t="s">
        <v>388</v>
      </c>
      <c r="B107" s="5" t="s">
        <v>22</v>
      </c>
      <c r="C107" s="5" t="s">
        <v>45</v>
      </c>
      <c r="D107" s="5" t="s">
        <v>46</v>
      </c>
      <c r="E107" s="5" t="s">
        <v>32</v>
      </c>
      <c r="F107" s="5" t="s">
        <v>25</v>
      </c>
      <c r="G107" s="5" t="n">
        <v>93</v>
      </c>
      <c r="H107" s="5" t="s">
        <v>389</v>
      </c>
      <c r="I107" s="5" t="s">
        <v>135</v>
      </c>
      <c r="J107" s="5" t="s">
        <v>51</v>
      </c>
      <c r="K107" s="5" t="n">
        <v>22</v>
      </c>
      <c r="L107" s="5" t="n">
        <v>5</v>
      </c>
      <c r="M107" s="2" t="s">
        <v>390</v>
      </c>
    </row>
    <row r="108" customFormat="false" ht="124.6" hidden="false" customHeight="false" outlineLevel="0" collapsed="false">
      <c r="A108" s="5" t="s">
        <v>391</v>
      </c>
      <c r="B108" s="5" t="s">
        <v>22</v>
      </c>
      <c r="C108" s="5" t="s">
        <v>77</v>
      </c>
      <c r="D108" s="5" t="s">
        <v>78</v>
      </c>
      <c r="E108" s="5" t="s">
        <v>47</v>
      </c>
      <c r="F108" s="5" t="s">
        <v>32</v>
      </c>
      <c r="G108" s="5" t="n">
        <v>107</v>
      </c>
      <c r="H108" s="5" t="s">
        <v>238</v>
      </c>
      <c r="I108" s="5" t="s">
        <v>94</v>
      </c>
      <c r="J108" s="5" t="s">
        <v>80</v>
      </c>
      <c r="K108" s="5" t="n">
        <v>20</v>
      </c>
      <c r="L108" s="5" t="n">
        <v>4</v>
      </c>
      <c r="M108" s="2" t="s">
        <v>392</v>
      </c>
    </row>
    <row r="109" customFormat="false" ht="158.2" hidden="false" customHeight="false" outlineLevel="0" collapsed="false">
      <c r="A109" s="5" t="s">
        <v>393</v>
      </c>
      <c r="B109" s="5" t="s">
        <v>22</v>
      </c>
      <c r="C109" s="5" t="s">
        <v>77</v>
      </c>
      <c r="D109" s="5" t="s">
        <v>78</v>
      </c>
      <c r="E109" s="5" t="s">
        <v>47</v>
      </c>
      <c r="F109" s="5" t="s">
        <v>25</v>
      </c>
      <c r="G109" s="5" t="n">
        <v>121</v>
      </c>
      <c r="H109" s="5" t="s">
        <v>394</v>
      </c>
      <c r="I109" s="5" t="s">
        <v>34</v>
      </c>
      <c r="J109" s="5" t="s">
        <v>80</v>
      </c>
      <c r="K109" s="5" t="n">
        <v>22</v>
      </c>
      <c r="L109" s="5" t="n">
        <v>1</v>
      </c>
      <c r="M109" s="2" t="s">
        <v>395</v>
      </c>
    </row>
    <row r="110" customFormat="false" ht="135.8" hidden="false" customHeight="false" outlineLevel="0" collapsed="false">
      <c r="A110" s="5" t="s">
        <v>396</v>
      </c>
      <c r="B110" s="5" t="s">
        <v>22</v>
      </c>
      <c r="C110" s="5" t="s">
        <v>90</v>
      </c>
      <c r="D110" s="5" t="s">
        <v>91</v>
      </c>
      <c r="E110" s="5"/>
      <c r="F110" s="5" t="s">
        <v>32</v>
      </c>
      <c r="G110" s="5" t="n">
        <v>73</v>
      </c>
      <c r="H110" s="5" t="s">
        <v>397</v>
      </c>
      <c r="I110" s="5" t="s">
        <v>104</v>
      </c>
      <c r="J110" s="5" t="s">
        <v>95</v>
      </c>
      <c r="K110" s="5" t="n">
        <v>21</v>
      </c>
      <c r="L110" s="5" t="n">
        <v>11</v>
      </c>
      <c r="M110" s="2" t="s">
        <v>398</v>
      </c>
    </row>
    <row r="111" customFormat="false" ht="180.55" hidden="false" customHeight="false" outlineLevel="0" collapsed="false">
      <c r="A111" s="5" t="s">
        <v>399</v>
      </c>
      <c r="B111" s="5" t="s">
        <v>98</v>
      </c>
      <c r="C111" s="5" t="s">
        <v>90</v>
      </c>
      <c r="D111" s="5" t="s">
        <v>91</v>
      </c>
      <c r="E111" s="5"/>
      <c r="F111" s="5" t="s">
        <v>162</v>
      </c>
      <c r="G111" s="5" t="n">
        <v>115</v>
      </c>
      <c r="H111" s="5" t="s">
        <v>400</v>
      </c>
      <c r="I111" s="5" t="s">
        <v>27</v>
      </c>
      <c r="J111" s="5" t="s">
        <v>95</v>
      </c>
      <c r="K111" s="5" t="n">
        <v>22</v>
      </c>
      <c r="L111" s="5" t="n">
        <v>5</v>
      </c>
      <c r="M111" s="2" t="s">
        <v>401</v>
      </c>
    </row>
    <row r="112" customFormat="false" ht="91" hidden="false" customHeight="false" outlineLevel="0" collapsed="false">
      <c r="A112" s="5" t="s">
        <v>402</v>
      </c>
      <c r="B112" s="5" t="s">
        <v>22</v>
      </c>
      <c r="C112" s="5" t="s">
        <v>223</v>
      </c>
      <c r="D112" s="5" t="s">
        <v>224</v>
      </c>
      <c r="E112" s="5" t="s">
        <v>32</v>
      </c>
      <c r="F112" s="5" t="s">
        <v>25</v>
      </c>
      <c r="G112" s="5" t="n">
        <v>74</v>
      </c>
      <c r="H112" s="5" t="s">
        <v>403</v>
      </c>
      <c r="I112" s="5" t="s">
        <v>305</v>
      </c>
      <c r="J112" s="5" t="s">
        <v>226</v>
      </c>
      <c r="K112" s="5" t="n">
        <v>20</v>
      </c>
      <c r="L112" s="5" t="n">
        <v>7</v>
      </c>
      <c r="M112" s="2" t="s">
        <v>404</v>
      </c>
    </row>
    <row r="113" customFormat="false" ht="124.6" hidden="false" customHeight="false" outlineLevel="0" collapsed="false">
      <c r="A113" s="5" t="s">
        <v>405</v>
      </c>
      <c r="B113" s="5" t="s">
        <v>98</v>
      </c>
      <c r="C113" s="5" t="s">
        <v>45</v>
      </c>
      <c r="D113" s="5" t="s">
        <v>46</v>
      </c>
      <c r="E113" s="5"/>
      <c r="F113" s="5" t="s">
        <v>92</v>
      </c>
      <c r="G113" s="5" t="n">
        <v>85</v>
      </c>
      <c r="H113" s="5" t="s">
        <v>406</v>
      </c>
      <c r="I113" s="5" t="s">
        <v>27</v>
      </c>
      <c r="J113" s="5" t="s">
        <v>51</v>
      </c>
      <c r="K113" s="5" t="n">
        <v>20</v>
      </c>
      <c r="L113" s="5" t="n">
        <v>5</v>
      </c>
      <c r="M113" s="2" t="s">
        <v>407</v>
      </c>
    </row>
    <row r="114" customFormat="false" ht="124.6" hidden="false" customHeight="false" outlineLevel="0" collapsed="false">
      <c r="A114" s="5" t="s">
        <v>408</v>
      </c>
      <c r="B114" s="5" t="s">
        <v>22</v>
      </c>
      <c r="C114" s="5" t="s">
        <v>38</v>
      </c>
      <c r="D114" s="5" t="s">
        <v>39</v>
      </c>
      <c r="E114" s="5" t="s">
        <v>55</v>
      </c>
      <c r="F114" s="5" t="s">
        <v>25</v>
      </c>
      <c r="G114" s="5" t="n">
        <v>125</v>
      </c>
      <c r="H114" s="5" t="s">
        <v>409</v>
      </c>
      <c r="I114" s="5" t="s">
        <v>135</v>
      </c>
      <c r="J114" s="5" t="s">
        <v>42</v>
      </c>
      <c r="K114" s="5" t="n">
        <v>23</v>
      </c>
      <c r="L114" s="5" t="n">
        <v>6</v>
      </c>
      <c r="M114" s="2" t="s">
        <v>410</v>
      </c>
    </row>
    <row r="115" customFormat="false" ht="124.6" hidden="false" customHeight="false" outlineLevel="0" collapsed="false">
      <c r="A115" s="5" t="s">
        <v>411</v>
      </c>
      <c r="B115" s="5" t="s">
        <v>22</v>
      </c>
      <c r="C115" s="5" t="s">
        <v>45</v>
      </c>
      <c r="D115" s="5" t="s">
        <v>46</v>
      </c>
      <c r="E115" s="5" t="s">
        <v>47</v>
      </c>
      <c r="F115" s="5" t="s">
        <v>48</v>
      </c>
      <c r="G115" s="5" t="n">
        <v>91</v>
      </c>
      <c r="H115" s="5" t="s">
        <v>194</v>
      </c>
      <c r="I115" s="5" t="s">
        <v>87</v>
      </c>
      <c r="J115" s="5" t="s">
        <v>51</v>
      </c>
      <c r="K115" s="5" t="n">
        <v>20</v>
      </c>
      <c r="L115" s="5" t="n">
        <v>5</v>
      </c>
      <c r="M115" s="2" t="s">
        <v>412</v>
      </c>
    </row>
    <row r="116" customFormat="false" ht="102.2" hidden="false" customHeight="false" outlineLevel="0" collapsed="false">
      <c r="A116" s="5" t="s">
        <v>413</v>
      </c>
      <c r="B116" s="5" t="s">
        <v>22</v>
      </c>
      <c r="C116" s="5" t="s">
        <v>30</v>
      </c>
      <c r="D116" s="5" t="s">
        <v>31</v>
      </c>
      <c r="E116" s="5" t="s">
        <v>47</v>
      </c>
      <c r="F116" s="5" t="s">
        <v>48</v>
      </c>
      <c r="G116" s="5" t="n">
        <v>91</v>
      </c>
      <c r="H116" s="5" t="s">
        <v>238</v>
      </c>
      <c r="I116" s="5" t="s">
        <v>41</v>
      </c>
      <c r="J116" s="5" t="s">
        <v>284</v>
      </c>
      <c r="K116" s="5" t="n">
        <v>21</v>
      </c>
      <c r="L116" s="5" t="n">
        <v>5</v>
      </c>
      <c r="M116" s="2" t="s">
        <v>414</v>
      </c>
    </row>
    <row r="117" customFormat="false" ht="15" hidden="false" customHeight="false" outlineLevel="0" collapsed="false">
      <c r="A117" s="5" t="s">
        <v>415</v>
      </c>
      <c r="B117" s="5" t="s">
        <v>22</v>
      </c>
      <c r="C117" s="5" t="s">
        <v>23</v>
      </c>
      <c r="D117" s="5" t="s">
        <v>24</v>
      </c>
      <c r="E117" s="5"/>
      <c r="F117" s="5"/>
      <c r="G117" s="5" t="n">
        <v>10</v>
      </c>
      <c r="H117" s="5" t="s">
        <v>416</v>
      </c>
      <c r="I117" s="5" t="s">
        <v>73</v>
      </c>
      <c r="J117" s="5"/>
      <c r="K117" s="5" t="n">
        <v>10</v>
      </c>
      <c r="L117" s="5" t="n">
        <v>8</v>
      </c>
      <c r="M117" s="2" t="s">
        <v>417</v>
      </c>
    </row>
    <row r="118" customFormat="false" ht="147" hidden="false" customHeight="false" outlineLevel="0" collapsed="false">
      <c r="A118" s="5" t="s">
        <v>418</v>
      </c>
      <c r="B118" s="5" t="s">
        <v>98</v>
      </c>
      <c r="C118" s="5" t="s">
        <v>77</v>
      </c>
      <c r="D118" s="5" t="s">
        <v>78</v>
      </c>
      <c r="E118" s="5"/>
      <c r="F118" s="5" t="s">
        <v>148</v>
      </c>
      <c r="G118" s="5" t="n">
        <v>127</v>
      </c>
      <c r="H118" s="5" t="s">
        <v>314</v>
      </c>
      <c r="I118" s="5" t="s">
        <v>67</v>
      </c>
      <c r="J118" s="5" t="s">
        <v>80</v>
      </c>
      <c r="K118" s="5" t="n">
        <v>21</v>
      </c>
      <c r="L118" s="5" t="n">
        <v>3</v>
      </c>
      <c r="M118" s="2" t="s">
        <v>419</v>
      </c>
    </row>
    <row r="119" customFormat="false" ht="91" hidden="false" customHeight="false" outlineLevel="0" collapsed="false">
      <c r="A119" s="5" t="s">
        <v>420</v>
      </c>
      <c r="B119" s="5" t="s">
        <v>54</v>
      </c>
      <c r="C119" s="5" t="s">
        <v>30</v>
      </c>
      <c r="D119" s="5" t="s">
        <v>31</v>
      </c>
      <c r="E119" s="5" t="s">
        <v>32</v>
      </c>
      <c r="F119" s="5" t="s">
        <v>162</v>
      </c>
      <c r="G119" s="5" t="n">
        <v>75</v>
      </c>
      <c r="H119" s="5" t="s">
        <v>421</v>
      </c>
      <c r="I119" s="5" t="s">
        <v>305</v>
      </c>
      <c r="J119" s="5" t="s">
        <v>284</v>
      </c>
      <c r="K119" s="5" t="n">
        <v>21</v>
      </c>
      <c r="L119" s="5" t="n">
        <v>7</v>
      </c>
      <c r="M119" s="2" t="s">
        <v>422</v>
      </c>
    </row>
    <row r="120" customFormat="false" ht="135.8" hidden="false" customHeight="false" outlineLevel="0" collapsed="false">
      <c r="A120" s="5" t="s">
        <v>423</v>
      </c>
      <c r="B120" s="5" t="s">
        <v>22</v>
      </c>
      <c r="C120" s="5" t="s">
        <v>45</v>
      </c>
      <c r="D120" s="5" t="s">
        <v>46</v>
      </c>
      <c r="E120" s="5"/>
      <c r="F120" s="5" t="s">
        <v>148</v>
      </c>
      <c r="G120" s="5" t="n">
        <v>93</v>
      </c>
      <c r="H120" s="5" t="s">
        <v>383</v>
      </c>
      <c r="I120" s="5" t="s">
        <v>27</v>
      </c>
      <c r="J120" s="5" t="s">
        <v>51</v>
      </c>
      <c r="K120" s="5" t="n">
        <v>21</v>
      </c>
      <c r="L120" s="5" t="n">
        <v>5</v>
      </c>
      <c r="M120" s="2" t="s">
        <v>424</v>
      </c>
    </row>
    <row r="121" customFormat="false" ht="158.2" hidden="false" customHeight="false" outlineLevel="0" collapsed="false">
      <c r="A121" s="5" t="s">
        <v>425</v>
      </c>
      <c r="B121" s="5" t="s">
        <v>22</v>
      </c>
      <c r="C121" s="5" t="s">
        <v>77</v>
      </c>
      <c r="D121" s="5" t="s">
        <v>78</v>
      </c>
      <c r="E121" s="5" t="s">
        <v>32</v>
      </c>
      <c r="F121" s="5" t="s">
        <v>92</v>
      </c>
      <c r="G121" s="5" t="n">
        <v>101</v>
      </c>
      <c r="H121" s="5" t="s">
        <v>426</v>
      </c>
      <c r="I121" s="5" t="s">
        <v>50</v>
      </c>
      <c r="J121" s="5" t="s">
        <v>80</v>
      </c>
      <c r="K121" s="5" t="n">
        <v>22</v>
      </c>
      <c r="L121" s="5" t="n">
        <v>3</v>
      </c>
      <c r="M121" s="2" t="s">
        <v>427</v>
      </c>
    </row>
    <row r="122" customFormat="false" ht="135.8" hidden="false" customHeight="false" outlineLevel="0" collapsed="false">
      <c r="A122" s="5" t="s">
        <v>428</v>
      </c>
      <c r="B122" s="5" t="s">
        <v>22</v>
      </c>
      <c r="C122" s="5" t="s">
        <v>110</v>
      </c>
      <c r="D122" s="5" t="s">
        <v>111</v>
      </c>
      <c r="E122" s="5" t="s">
        <v>47</v>
      </c>
      <c r="F122" s="5" t="s">
        <v>99</v>
      </c>
      <c r="G122" s="5" t="n">
        <v>115</v>
      </c>
      <c r="H122" s="5" t="s">
        <v>429</v>
      </c>
      <c r="I122" s="5" t="s">
        <v>305</v>
      </c>
      <c r="J122" s="5" t="s">
        <v>113</v>
      </c>
      <c r="K122" s="5" t="n">
        <v>24</v>
      </c>
      <c r="L122" s="5" t="n">
        <v>7</v>
      </c>
      <c r="M122" s="2" t="s">
        <v>430</v>
      </c>
    </row>
    <row r="123" customFormat="false" ht="147" hidden="false" customHeight="false" outlineLevel="0" collapsed="false">
      <c r="A123" s="5" t="s">
        <v>431</v>
      </c>
      <c r="B123" s="5" t="s">
        <v>22</v>
      </c>
      <c r="C123" s="5" t="s">
        <v>60</v>
      </c>
      <c r="D123" s="5" t="s">
        <v>61</v>
      </c>
      <c r="E123" s="5" t="s">
        <v>47</v>
      </c>
      <c r="F123" s="5"/>
      <c r="G123" s="5" t="n">
        <v>91</v>
      </c>
      <c r="H123" s="5" t="s">
        <v>432</v>
      </c>
      <c r="I123" s="5" t="s">
        <v>117</v>
      </c>
      <c r="J123" s="5" t="s">
        <v>295</v>
      </c>
      <c r="K123" s="5" t="n">
        <v>22</v>
      </c>
      <c r="L123" s="5" t="n">
        <v>7</v>
      </c>
      <c r="M123" s="2" t="s">
        <v>433</v>
      </c>
    </row>
    <row r="124" customFormat="false" ht="147" hidden="false" customHeight="false" outlineLevel="0" collapsed="false">
      <c r="A124" s="5" t="s">
        <v>434</v>
      </c>
      <c r="B124" s="5" t="s">
        <v>22</v>
      </c>
      <c r="C124" s="5" t="s">
        <v>60</v>
      </c>
      <c r="D124" s="5" t="s">
        <v>61</v>
      </c>
      <c r="E124" s="5" t="s">
        <v>32</v>
      </c>
      <c r="F124" s="5" t="s">
        <v>133</v>
      </c>
      <c r="G124" s="5" t="n">
        <v>97</v>
      </c>
      <c r="H124" s="5" t="s">
        <v>93</v>
      </c>
      <c r="I124" s="5" t="s">
        <v>50</v>
      </c>
      <c r="J124" s="5" t="s">
        <v>143</v>
      </c>
      <c r="K124" s="5" t="n">
        <v>21</v>
      </c>
      <c r="L124" s="5" t="n">
        <v>3</v>
      </c>
      <c r="M124" s="2" t="s">
        <v>435</v>
      </c>
    </row>
    <row r="125" customFormat="false" ht="124.6" hidden="false" customHeight="false" outlineLevel="0" collapsed="false">
      <c r="A125" s="5" t="s">
        <v>436</v>
      </c>
      <c r="B125" s="5" t="s">
        <v>54</v>
      </c>
      <c r="C125" s="5" t="s">
        <v>45</v>
      </c>
      <c r="D125" s="5" t="s">
        <v>46</v>
      </c>
      <c r="E125" s="5" t="s">
        <v>32</v>
      </c>
      <c r="F125" s="5"/>
      <c r="G125" s="5" t="n">
        <v>97</v>
      </c>
      <c r="H125" s="5" t="s">
        <v>437</v>
      </c>
      <c r="I125" s="5" t="s">
        <v>305</v>
      </c>
      <c r="J125" s="5" t="s">
        <v>51</v>
      </c>
      <c r="K125" s="5" t="n">
        <v>22</v>
      </c>
      <c r="L125" s="5" t="n">
        <v>5</v>
      </c>
      <c r="M125" s="2" t="s">
        <v>438</v>
      </c>
    </row>
    <row r="126" customFormat="false" ht="79.85" hidden="false" customHeight="false" outlineLevel="0" collapsed="false">
      <c r="A126" s="5" t="s">
        <v>439</v>
      </c>
      <c r="B126" s="5" t="s">
        <v>22</v>
      </c>
      <c r="C126" s="5" t="s">
        <v>70</v>
      </c>
      <c r="D126" s="5" t="s">
        <v>71</v>
      </c>
      <c r="E126" s="5" t="s">
        <v>32</v>
      </c>
      <c r="F126" s="5" t="s">
        <v>55</v>
      </c>
      <c r="G126" s="5" t="n">
        <v>79</v>
      </c>
      <c r="H126" s="5" t="s">
        <v>168</v>
      </c>
      <c r="I126" s="5" t="s">
        <v>305</v>
      </c>
      <c r="J126" s="5" t="s">
        <v>125</v>
      </c>
      <c r="K126" s="5" t="n">
        <v>21</v>
      </c>
      <c r="L126" s="5" t="n">
        <v>7</v>
      </c>
      <c r="M126" s="2" t="s">
        <v>440</v>
      </c>
    </row>
    <row r="127" customFormat="false" ht="135.8" hidden="false" customHeight="false" outlineLevel="0" collapsed="false">
      <c r="A127" s="5" t="s">
        <v>441</v>
      </c>
      <c r="B127" s="5" t="s">
        <v>22</v>
      </c>
      <c r="C127" s="5" t="s">
        <v>45</v>
      </c>
      <c r="D127" s="5" t="s">
        <v>46</v>
      </c>
      <c r="E127" s="5" t="s">
        <v>32</v>
      </c>
      <c r="F127" s="5" t="s">
        <v>92</v>
      </c>
      <c r="G127" s="5" t="n">
        <v>90</v>
      </c>
      <c r="H127" s="5" t="s">
        <v>442</v>
      </c>
      <c r="I127" s="5" t="s">
        <v>94</v>
      </c>
      <c r="J127" s="5" t="s">
        <v>51</v>
      </c>
      <c r="K127" s="5" t="n">
        <v>22</v>
      </c>
      <c r="L127" s="5" t="n">
        <v>5</v>
      </c>
      <c r="M127" s="2" t="s">
        <v>443</v>
      </c>
    </row>
    <row r="128" customFormat="false" ht="135.8" hidden="false" customHeight="false" outlineLevel="0" collapsed="false">
      <c r="A128" s="5" t="s">
        <v>444</v>
      </c>
      <c r="B128" s="5" t="s">
        <v>54</v>
      </c>
      <c r="C128" s="5" t="s">
        <v>60</v>
      </c>
      <c r="D128" s="5" t="s">
        <v>61</v>
      </c>
      <c r="E128" s="5" t="s">
        <v>32</v>
      </c>
      <c r="F128" s="5" t="s">
        <v>162</v>
      </c>
      <c r="G128" s="5" t="n">
        <v>109</v>
      </c>
      <c r="H128" s="5" t="s">
        <v>214</v>
      </c>
      <c r="I128" s="5" t="s">
        <v>94</v>
      </c>
      <c r="J128" s="5" t="s">
        <v>63</v>
      </c>
      <c r="K128" s="5" t="n">
        <v>21</v>
      </c>
      <c r="L128" s="5" t="n">
        <v>4</v>
      </c>
      <c r="M128" s="2" t="s">
        <v>445</v>
      </c>
    </row>
    <row r="129" customFormat="false" ht="124.6" hidden="false" customHeight="false" outlineLevel="0" collapsed="false">
      <c r="A129" s="5" t="s">
        <v>446</v>
      </c>
      <c r="B129" s="5" t="s">
        <v>54</v>
      </c>
      <c r="C129" s="5" t="s">
        <v>45</v>
      </c>
      <c r="D129" s="5" t="s">
        <v>46</v>
      </c>
      <c r="E129" s="5" t="s">
        <v>47</v>
      </c>
      <c r="F129" s="5" t="s">
        <v>25</v>
      </c>
      <c r="G129" s="5" t="n">
        <v>102</v>
      </c>
      <c r="H129" s="5" t="s">
        <v>447</v>
      </c>
      <c r="I129" s="5" t="s">
        <v>117</v>
      </c>
      <c r="J129" s="5" t="s">
        <v>51</v>
      </c>
      <c r="K129" s="5" t="n">
        <v>21</v>
      </c>
      <c r="L129" s="5" t="n">
        <v>3</v>
      </c>
      <c r="M129" s="2" t="s">
        <v>448</v>
      </c>
    </row>
    <row r="130" customFormat="false" ht="15" hidden="false" customHeight="false" outlineLevel="0" collapsed="false">
      <c r="A130" s="5" t="s">
        <v>449</v>
      </c>
      <c r="B130" s="5" t="s">
        <v>22</v>
      </c>
      <c r="C130" s="5" t="s">
        <v>23</v>
      </c>
      <c r="D130" s="5" t="s">
        <v>24</v>
      </c>
      <c r="E130" s="5"/>
      <c r="F130" s="5"/>
      <c r="G130" s="5" t="n">
        <v>11</v>
      </c>
      <c r="H130" s="5" t="s">
        <v>247</v>
      </c>
      <c r="I130" s="5" t="s">
        <v>94</v>
      </c>
      <c r="J130" s="5"/>
      <c r="K130" s="5" t="n">
        <v>10</v>
      </c>
      <c r="L130" s="5" t="n">
        <v>8</v>
      </c>
      <c r="M130" s="2" t="s">
        <v>450</v>
      </c>
    </row>
    <row r="131" customFormat="false" ht="15" hidden="false" customHeight="false" outlineLevel="0" collapsed="false">
      <c r="A131" s="5" t="s">
        <v>451</v>
      </c>
      <c r="B131" s="5" t="s">
        <v>22</v>
      </c>
      <c r="C131" s="5" t="s">
        <v>23</v>
      </c>
      <c r="D131" s="5" t="s">
        <v>91</v>
      </c>
      <c r="E131" s="5" t="s">
        <v>47</v>
      </c>
      <c r="F131" s="5" t="s">
        <v>133</v>
      </c>
      <c r="G131" s="5" t="n">
        <v>18</v>
      </c>
      <c r="H131" s="5" t="s">
        <v>325</v>
      </c>
      <c r="I131" s="5" t="s">
        <v>34</v>
      </c>
      <c r="J131" s="5" t="s">
        <v>452</v>
      </c>
      <c r="K131" s="5" t="n">
        <v>11</v>
      </c>
      <c r="L131" s="5" t="n">
        <v>7</v>
      </c>
      <c r="M131" s="2" t="s">
        <v>453</v>
      </c>
    </row>
    <row r="132" customFormat="false" ht="135.8" hidden="false" customHeight="false" outlineLevel="0" collapsed="false">
      <c r="A132" s="5" t="s">
        <v>454</v>
      </c>
      <c r="B132" s="5" t="s">
        <v>22</v>
      </c>
      <c r="C132" s="5" t="s">
        <v>60</v>
      </c>
      <c r="D132" s="5" t="s">
        <v>61</v>
      </c>
      <c r="E132" s="5"/>
      <c r="F132" s="5" t="s">
        <v>123</v>
      </c>
      <c r="G132" s="5" t="n">
        <v>93</v>
      </c>
      <c r="H132" s="5" t="s">
        <v>455</v>
      </c>
      <c r="I132" s="5" t="s">
        <v>94</v>
      </c>
      <c r="J132" s="5" t="s">
        <v>139</v>
      </c>
      <c r="K132" s="5" t="n">
        <v>20</v>
      </c>
      <c r="L132" s="5" t="n">
        <v>7</v>
      </c>
      <c r="M132" s="2" t="s">
        <v>456</v>
      </c>
    </row>
    <row r="133" customFormat="false" ht="113.4" hidden="false" customHeight="false" outlineLevel="0" collapsed="false">
      <c r="A133" s="5" t="s">
        <v>457</v>
      </c>
      <c r="B133" s="5" t="s">
        <v>22</v>
      </c>
      <c r="C133" s="5" t="s">
        <v>45</v>
      </c>
      <c r="D133" s="5" t="s">
        <v>46</v>
      </c>
      <c r="E133" s="5"/>
      <c r="F133" s="5"/>
      <c r="G133" s="5" t="n">
        <v>84</v>
      </c>
      <c r="H133" s="5" t="s">
        <v>458</v>
      </c>
      <c r="I133" s="5" t="s">
        <v>27</v>
      </c>
      <c r="J133" s="5" t="s">
        <v>51</v>
      </c>
      <c r="K133" s="5" t="n">
        <v>21</v>
      </c>
      <c r="L133" s="5" t="n">
        <v>5</v>
      </c>
      <c r="M133" s="2" t="s">
        <v>459</v>
      </c>
    </row>
    <row r="134" customFormat="false" ht="15" hidden="false" customHeight="false" outlineLevel="0" collapsed="false">
      <c r="A134" s="5" t="s">
        <v>460</v>
      </c>
      <c r="B134" s="5" t="s">
        <v>22</v>
      </c>
      <c r="C134" s="5" t="s">
        <v>23</v>
      </c>
      <c r="D134" s="5" t="s">
        <v>24</v>
      </c>
      <c r="E134" s="5"/>
      <c r="F134" s="5" t="s">
        <v>148</v>
      </c>
      <c r="G134" s="5" t="n">
        <v>15</v>
      </c>
      <c r="H134" s="5" t="s">
        <v>461</v>
      </c>
      <c r="I134" s="5" t="s">
        <v>73</v>
      </c>
      <c r="J134" s="5"/>
      <c r="K134" s="5" t="n">
        <v>10</v>
      </c>
      <c r="L134" s="5" t="n">
        <v>8</v>
      </c>
      <c r="M134" s="2" t="s">
        <v>462</v>
      </c>
    </row>
    <row r="135" customFormat="false" ht="147" hidden="false" customHeight="false" outlineLevel="0" collapsed="false">
      <c r="A135" s="5" t="s">
        <v>463</v>
      </c>
      <c r="B135" s="5" t="s">
        <v>22</v>
      </c>
      <c r="C135" s="5" t="s">
        <v>77</v>
      </c>
      <c r="D135" s="5" t="s">
        <v>78</v>
      </c>
      <c r="E135" s="5"/>
      <c r="F135" s="5" t="s">
        <v>148</v>
      </c>
      <c r="G135" s="5" t="n">
        <v>110</v>
      </c>
      <c r="H135" s="5" t="s">
        <v>464</v>
      </c>
      <c r="I135" s="5" t="s">
        <v>104</v>
      </c>
      <c r="J135" s="5" t="s">
        <v>80</v>
      </c>
      <c r="K135" s="5" t="n">
        <v>21</v>
      </c>
      <c r="L135" s="5" t="n">
        <v>4</v>
      </c>
      <c r="M135" s="2" t="s">
        <v>465</v>
      </c>
    </row>
    <row r="136" customFormat="false" ht="102.2" hidden="false" customHeight="false" outlineLevel="0" collapsed="false">
      <c r="A136" s="5" t="s">
        <v>466</v>
      </c>
      <c r="B136" s="5" t="s">
        <v>22</v>
      </c>
      <c r="C136" s="5" t="s">
        <v>223</v>
      </c>
      <c r="D136" s="5" t="s">
        <v>224</v>
      </c>
      <c r="E136" s="5" t="s">
        <v>55</v>
      </c>
      <c r="F136" s="5" t="s">
        <v>55</v>
      </c>
      <c r="G136" s="5" t="n">
        <v>85</v>
      </c>
      <c r="H136" s="5" t="s">
        <v>103</v>
      </c>
      <c r="I136" s="5" t="s">
        <v>94</v>
      </c>
      <c r="J136" s="5" t="s">
        <v>226</v>
      </c>
      <c r="K136" s="5" t="n">
        <v>20</v>
      </c>
      <c r="L136" s="5" t="n">
        <v>6</v>
      </c>
      <c r="M136" s="2" t="s">
        <v>467</v>
      </c>
    </row>
    <row r="137" customFormat="false" ht="91" hidden="false" customHeight="false" outlineLevel="0" collapsed="false">
      <c r="A137" s="5" t="s">
        <v>468</v>
      </c>
      <c r="B137" s="5" t="s">
        <v>22</v>
      </c>
      <c r="C137" s="5" t="s">
        <v>184</v>
      </c>
      <c r="D137" s="5" t="s">
        <v>39</v>
      </c>
      <c r="E137" s="5" t="s">
        <v>32</v>
      </c>
      <c r="F137" s="5"/>
      <c r="G137" s="5" t="n">
        <v>97</v>
      </c>
      <c r="H137" s="5" t="s">
        <v>250</v>
      </c>
      <c r="I137" s="5" t="s">
        <v>67</v>
      </c>
      <c r="J137" s="5" t="s">
        <v>261</v>
      </c>
      <c r="K137" s="5" t="n">
        <v>23</v>
      </c>
      <c r="L137" s="5" t="n">
        <v>6</v>
      </c>
      <c r="M137" s="2" t="s">
        <v>469</v>
      </c>
    </row>
    <row r="138" customFormat="false" ht="135.8" hidden="false" customHeight="false" outlineLevel="0" collapsed="false">
      <c r="A138" s="5" t="s">
        <v>470</v>
      </c>
      <c r="B138" s="5" t="s">
        <v>22</v>
      </c>
      <c r="C138" s="5" t="s">
        <v>77</v>
      </c>
      <c r="D138" s="5" t="s">
        <v>78</v>
      </c>
      <c r="E138" s="5" t="s">
        <v>32</v>
      </c>
      <c r="F138" s="5" t="s">
        <v>56</v>
      </c>
      <c r="G138" s="5" t="n">
        <v>116</v>
      </c>
      <c r="H138" s="5" t="s">
        <v>471</v>
      </c>
      <c r="I138" s="5" t="s">
        <v>135</v>
      </c>
      <c r="J138" s="5" t="s">
        <v>80</v>
      </c>
      <c r="K138" s="5" t="n">
        <v>22</v>
      </c>
      <c r="L138" s="5" t="n">
        <v>4</v>
      </c>
      <c r="M138" s="2" t="s">
        <v>472</v>
      </c>
    </row>
    <row r="139" customFormat="false" ht="124.6" hidden="false" customHeight="false" outlineLevel="0" collapsed="false">
      <c r="A139" s="5" t="s">
        <v>473</v>
      </c>
      <c r="B139" s="5" t="s">
        <v>98</v>
      </c>
      <c r="C139" s="5" t="s">
        <v>77</v>
      </c>
      <c r="D139" s="5" t="s">
        <v>78</v>
      </c>
      <c r="E139" s="5"/>
      <c r="F139" s="5" t="s">
        <v>99</v>
      </c>
      <c r="G139" s="5" t="n">
        <v>98</v>
      </c>
      <c r="H139" s="5" t="s">
        <v>474</v>
      </c>
      <c r="I139" s="5" t="s">
        <v>27</v>
      </c>
      <c r="J139" s="5" t="s">
        <v>80</v>
      </c>
      <c r="K139" s="5" t="n">
        <v>19</v>
      </c>
      <c r="L139" s="5" t="n">
        <v>2</v>
      </c>
      <c r="M139" s="2" t="s">
        <v>475</v>
      </c>
    </row>
    <row r="140" customFormat="false" ht="68.65" hidden="false" customHeight="false" outlineLevel="0" collapsed="false">
      <c r="A140" s="5" t="s">
        <v>476</v>
      </c>
      <c r="B140" s="5" t="s">
        <v>98</v>
      </c>
      <c r="C140" s="5" t="s">
        <v>70</v>
      </c>
      <c r="D140" s="5" t="s">
        <v>71</v>
      </c>
      <c r="E140" s="5" t="s">
        <v>47</v>
      </c>
      <c r="F140" s="5" t="s">
        <v>32</v>
      </c>
      <c r="G140" s="5" t="n">
        <v>61</v>
      </c>
      <c r="H140" s="5" t="s">
        <v>200</v>
      </c>
      <c r="I140" s="5" t="s">
        <v>50</v>
      </c>
      <c r="J140" s="5" t="s">
        <v>70</v>
      </c>
      <c r="K140" s="5" t="n">
        <v>20</v>
      </c>
      <c r="L140" s="5" t="n">
        <v>8</v>
      </c>
      <c r="M140" s="2" t="s">
        <v>477</v>
      </c>
    </row>
    <row r="141" customFormat="false" ht="102.2" hidden="false" customHeight="false" outlineLevel="0" collapsed="false">
      <c r="A141" s="5" t="s">
        <v>478</v>
      </c>
      <c r="B141" s="5" t="s">
        <v>98</v>
      </c>
      <c r="C141" s="5" t="s">
        <v>184</v>
      </c>
      <c r="D141" s="5" t="s">
        <v>39</v>
      </c>
      <c r="E141" s="5" t="s">
        <v>32</v>
      </c>
      <c r="F141" s="5" t="s">
        <v>92</v>
      </c>
      <c r="G141" s="5" t="n">
        <v>65</v>
      </c>
      <c r="H141" s="5" t="s">
        <v>479</v>
      </c>
      <c r="I141" s="5" t="s">
        <v>87</v>
      </c>
      <c r="J141" s="5" t="s">
        <v>480</v>
      </c>
      <c r="K141" s="5" t="n">
        <v>20</v>
      </c>
      <c r="L141" s="5" t="n">
        <v>7</v>
      </c>
      <c r="M141" s="2" t="s">
        <v>481</v>
      </c>
    </row>
    <row r="142" customFormat="false" ht="124.6" hidden="false" customHeight="false" outlineLevel="0" collapsed="false">
      <c r="A142" s="5" t="s">
        <v>482</v>
      </c>
      <c r="B142" s="5" t="s">
        <v>22</v>
      </c>
      <c r="C142" s="5" t="s">
        <v>38</v>
      </c>
      <c r="D142" s="5" t="s">
        <v>39</v>
      </c>
      <c r="E142" s="5" t="s">
        <v>55</v>
      </c>
      <c r="F142" s="5" t="s">
        <v>48</v>
      </c>
      <c r="G142" s="5" t="n">
        <v>85</v>
      </c>
      <c r="H142" s="5" t="s">
        <v>483</v>
      </c>
      <c r="I142" s="5" t="s">
        <v>67</v>
      </c>
      <c r="J142" s="5" t="s">
        <v>42</v>
      </c>
      <c r="K142" s="5" t="n">
        <v>23</v>
      </c>
      <c r="L142" s="5" t="n">
        <v>8</v>
      </c>
      <c r="M142" s="2" t="s">
        <v>484</v>
      </c>
    </row>
    <row r="143" customFormat="false" ht="135.8" hidden="false" customHeight="false" outlineLevel="0" collapsed="false">
      <c r="A143" s="5" t="s">
        <v>485</v>
      </c>
      <c r="B143" s="5" t="s">
        <v>54</v>
      </c>
      <c r="C143" s="5" t="s">
        <v>45</v>
      </c>
      <c r="D143" s="5" t="s">
        <v>46</v>
      </c>
      <c r="E143" s="5" t="s">
        <v>47</v>
      </c>
      <c r="F143" s="5" t="s">
        <v>48</v>
      </c>
      <c r="G143" s="5" t="n">
        <v>99</v>
      </c>
      <c r="H143" s="5" t="s">
        <v>486</v>
      </c>
      <c r="I143" s="5" t="s">
        <v>73</v>
      </c>
      <c r="J143" s="5" t="s">
        <v>51</v>
      </c>
      <c r="K143" s="5" t="n">
        <v>21</v>
      </c>
      <c r="L143" s="5" t="n">
        <v>5</v>
      </c>
      <c r="M143" s="2" t="s">
        <v>487</v>
      </c>
    </row>
    <row r="144" customFormat="false" ht="147" hidden="false" customHeight="false" outlineLevel="0" collapsed="false">
      <c r="A144" s="5" t="s">
        <v>488</v>
      </c>
      <c r="B144" s="5" t="s">
        <v>54</v>
      </c>
      <c r="C144" s="5" t="s">
        <v>77</v>
      </c>
      <c r="D144" s="5" t="s">
        <v>78</v>
      </c>
      <c r="E144" s="5" t="s">
        <v>47</v>
      </c>
      <c r="F144" s="5" t="s">
        <v>55</v>
      </c>
      <c r="G144" s="5" t="n">
        <v>112</v>
      </c>
      <c r="H144" s="5" t="s">
        <v>380</v>
      </c>
      <c r="I144" s="5" t="s">
        <v>73</v>
      </c>
      <c r="J144" s="5" t="s">
        <v>80</v>
      </c>
      <c r="K144" s="5" t="n">
        <v>22</v>
      </c>
      <c r="L144" s="5" t="n">
        <v>3</v>
      </c>
      <c r="M144" s="2" t="s">
        <v>489</v>
      </c>
    </row>
    <row r="145" customFormat="false" ht="102.2" hidden="false" customHeight="false" outlineLevel="0" collapsed="false">
      <c r="A145" s="5" t="s">
        <v>490</v>
      </c>
      <c r="B145" s="5" t="s">
        <v>22</v>
      </c>
      <c r="C145" s="5" t="s">
        <v>223</v>
      </c>
      <c r="D145" s="5" t="s">
        <v>224</v>
      </c>
      <c r="E145" s="5"/>
      <c r="F145" s="5" t="s">
        <v>25</v>
      </c>
      <c r="G145" s="5" t="n">
        <v>76</v>
      </c>
      <c r="H145" s="5" t="s">
        <v>491</v>
      </c>
      <c r="I145" s="5" t="s">
        <v>34</v>
      </c>
      <c r="J145" s="5" t="s">
        <v>226</v>
      </c>
      <c r="K145" s="5" t="n">
        <v>19</v>
      </c>
      <c r="L145" s="5" t="n">
        <v>9</v>
      </c>
      <c r="M145" s="2" t="s">
        <v>492</v>
      </c>
    </row>
    <row r="146" customFormat="false" ht="91" hidden="false" customHeight="false" outlineLevel="0" collapsed="false">
      <c r="A146" s="5" t="s">
        <v>493</v>
      </c>
      <c r="B146" s="5" t="s">
        <v>22</v>
      </c>
      <c r="C146" s="5" t="s">
        <v>30</v>
      </c>
      <c r="D146" s="5" t="s">
        <v>31</v>
      </c>
      <c r="E146" s="5" t="s">
        <v>32</v>
      </c>
      <c r="F146" s="5" t="s">
        <v>99</v>
      </c>
      <c r="G146" s="5" t="n">
        <v>89</v>
      </c>
      <c r="H146" s="5" t="s">
        <v>188</v>
      </c>
      <c r="I146" s="5" t="s">
        <v>67</v>
      </c>
      <c r="J146" s="5" t="s">
        <v>35</v>
      </c>
      <c r="K146" s="5" t="n">
        <v>21</v>
      </c>
      <c r="L146" s="5" t="n">
        <v>5</v>
      </c>
      <c r="M146" s="2" t="s">
        <v>494</v>
      </c>
    </row>
    <row r="147" customFormat="false" ht="113.4" hidden="false" customHeight="false" outlineLevel="0" collapsed="false">
      <c r="A147" s="5" t="s">
        <v>495</v>
      </c>
      <c r="B147" s="5" t="s">
        <v>22</v>
      </c>
      <c r="C147" s="5" t="s">
        <v>128</v>
      </c>
      <c r="D147" s="5" t="s">
        <v>129</v>
      </c>
      <c r="E147" s="5" t="s">
        <v>47</v>
      </c>
      <c r="F147" s="5" t="s">
        <v>123</v>
      </c>
      <c r="G147" s="5" t="n">
        <v>105</v>
      </c>
      <c r="H147" s="5" t="s">
        <v>496</v>
      </c>
      <c r="I147" s="5" t="s">
        <v>104</v>
      </c>
      <c r="J147" s="5" t="s">
        <v>130</v>
      </c>
      <c r="K147" s="5" t="n">
        <v>21</v>
      </c>
      <c r="L147" s="5" t="n">
        <v>4</v>
      </c>
      <c r="M147" s="2" t="s">
        <v>497</v>
      </c>
    </row>
    <row r="148" customFormat="false" ht="102.2" hidden="false" customHeight="false" outlineLevel="0" collapsed="false">
      <c r="A148" s="5" t="s">
        <v>498</v>
      </c>
      <c r="B148" s="5" t="s">
        <v>98</v>
      </c>
      <c r="C148" s="5" t="s">
        <v>184</v>
      </c>
      <c r="D148" s="5" t="s">
        <v>39</v>
      </c>
      <c r="E148" s="5" t="s">
        <v>55</v>
      </c>
      <c r="F148" s="5" t="s">
        <v>32</v>
      </c>
      <c r="G148" s="5" t="n">
        <v>93</v>
      </c>
      <c r="H148" s="5" t="s">
        <v>168</v>
      </c>
      <c r="I148" s="5" t="s">
        <v>34</v>
      </c>
      <c r="J148" s="5" t="s">
        <v>205</v>
      </c>
      <c r="K148" s="5" t="n">
        <v>23</v>
      </c>
      <c r="L148" s="5" t="n">
        <v>6</v>
      </c>
      <c r="M148" s="2" t="s">
        <v>499</v>
      </c>
    </row>
    <row r="149" customFormat="false" ht="135.8" hidden="false" customHeight="false" outlineLevel="0" collapsed="false">
      <c r="A149" s="5" t="s">
        <v>500</v>
      </c>
      <c r="B149" s="5" t="s">
        <v>22</v>
      </c>
      <c r="C149" s="5" t="s">
        <v>110</v>
      </c>
      <c r="D149" s="5" t="s">
        <v>111</v>
      </c>
      <c r="E149" s="5"/>
      <c r="F149" s="5" t="s">
        <v>55</v>
      </c>
      <c r="G149" s="5" t="n">
        <v>124</v>
      </c>
      <c r="H149" s="5" t="s">
        <v>501</v>
      </c>
      <c r="I149" s="5" t="s">
        <v>27</v>
      </c>
      <c r="J149" s="5" t="s">
        <v>113</v>
      </c>
      <c r="K149" s="5" t="n">
        <v>24</v>
      </c>
      <c r="L149" s="5" t="n">
        <v>5</v>
      </c>
      <c r="M149" s="2" t="s">
        <v>502</v>
      </c>
    </row>
    <row r="150" customFormat="false" ht="91" hidden="false" customHeight="false" outlineLevel="0" collapsed="false">
      <c r="A150" s="5" t="s">
        <v>503</v>
      </c>
      <c r="B150" s="5" t="s">
        <v>98</v>
      </c>
      <c r="C150" s="5" t="s">
        <v>30</v>
      </c>
      <c r="D150" s="5" t="s">
        <v>31</v>
      </c>
      <c r="E150" s="5" t="s">
        <v>55</v>
      </c>
      <c r="F150" s="5" t="s">
        <v>48</v>
      </c>
      <c r="G150" s="5" t="n">
        <v>93</v>
      </c>
      <c r="H150" s="5" t="s">
        <v>504</v>
      </c>
      <c r="I150" s="5" t="s">
        <v>34</v>
      </c>
      <c r="J150" s="5" t="s">
        <v>150</v>
      </c>
      <c r="K150" s="5" t="n">
        <v>22</v>
      </c>
      <c r="L150" s="5" t="n">
        <v>3</v>
      </c>
      <c r="M150" s="2" t="s">
        <v>505</v>
      </c>
    </row>
    <row r="151" customFormat="false" ht="124.6" hidden="false" customHeight="false" outlineLevel="0" collapsed="false">
      <c r="A151" s="5" t="s">
        <v>506</v>
      </c>
      <c r="B151" s="5" t="s">
        <v>22</v>
      </c>
      <c r="C151" s="5" t="s">
        <v>60</v>
      </c>
      <c r="D151" s="5" t="s">
        <v>61</v>
      </c>
      <c r="E151" s="5" t="s">
        <v>32</v>
      </c>
      <c r="F151" s="5" t="s">
        <v>25</v>
      </c>
      <c r="G151" s="5" t="n">
        <v>105</v>
      </c>
      <c r="H151" s="5" t="s">
        <v>507</v>
      </c>
      <c r="I151" s="5" t="s">
        <v>94</v>
      </c>
      <c r="J151" s="5" t="s">
        <v>139</v>
      </c>
      <c r="K151" s="5" t="n">
        <v>22</v>
      </c>
      <c r="L151" s="5" t="n">
        <v>7</v>
      </c>
      <c r="M151" s="2" t="s">
        <v>508</v>
      </c>
    </row>
    <row r="152" customFormat="false" ht="124.6" hidden="false" customHeight="false" outlineLevel="0" collapsed="false">
      <c r="A152" s="5" t="s">
        <v>509</v>
      </c>
      <c r="B152" s="5" t="s">
        <v>22</v>
      </c>
      <c r="C152" s="5" t="s">
        <v>38</v>
      </c>
      <c r="D152" s="5" t="s">
        <v>39</v>
      </c>
      <c r="E152" s="5"/>
      <c r="F152" s="5" t="s">
        <v>48</v>
      </c>
      <c r="G152" s="5" t="n">
        <v>118</v>
      </c>
      <c r="H152" s="5" t="s">
        <v>510</v>
      </c>
      <c r="I152" s="5" t="s">
        <v>34</v>
      </c>
      <c r="J152" s="5" t="s">
        <v>42</v>
      </c>
      <c r="K152" s="5" t="n">
        <v>21</v>
      </c>
      <c r="L152" s="5" t="n">
        <v>4</v>
      </c>
      <c r="M152" s="2" t="s">
        <v>511</v>
      </c>
    </row>
    <row r="153" customFormat="false" ht="15" hidden="false" customHeight="false" outlineLevel="0" collapsed="false">
      <c r="A153" s="5" t="s">
        <v>512</v>
      </c>
      <c r="B153" s="5" t="s">
        <v>22</v>
      </c>
      <c r="C153" s="5" t="s">
        <v>23</v>
      </c>
      <c r="D153" s="5" t="s">
        <v>24</v>
      </c>
      <c r="E153" s="5" t="s">
        <v>32</v>
      </c>
      <c r="F153" s="5" t="s">
        <v>25</v>
      </c>
      <c r="G153" s="5" t="n">
        <v>14</v>
      </c>
      <c r="H153" s="5" t="s">
        <v>314</v>
      </c>
      <c r="I153" s="5" t="s">
        <v>41</v>
      </c>
      <c r="J153" s="5"/>
      <c r="K153" s="5" t="n">
        <v>11</v>
      </c>
      <c r="L153" s="5" t="n">
        <v>8</v>
      </c>
      <c r="M153" s="2" t="s">
        <v>513</v>
      </c>
    </row>
    <row r="154" customFormat="false" ht="135.8" hidden="false" customHeight="false" outlineLevel="0" collapsed="false">
      <c r="A154" s="5" t="s">
        <v>514</v>
      </c>
      <c r="B154" s="5" t="s">
        <v>22</v>
      </c>
      <c r="C154" s="5" t="s">
        <v>45</v>
      </c>
      <c r="D154" s="5" t="s">
        <v>46</v>
      </c>
      <c r="E154" s="5" t="s">
        <v>32</v>
      </c>
      <c r="F154" s="5" t="s">
        <v>92</v>
      </c>
      <c r="G154" s="5" t="n">
        <v>89</v>
      </c>
      <c r="H154" s="5" t="s">
        <v>204</v>
      </c>
      <c r="I154" s="5" t="s">
        <v>73</v>
      </c>
      <c r="J154" s="5" t="s">
        <v>51</v>
      </c>
      <c r="K154" s="5" t="n">
        <v>21</v>
      </c>
      <c r="L154" s="5" t="n">
        <v>5</v>
      </c>
      <c r="M154" s="2" t="s">
        <v>515</v>
      </c>
    </row>
    <row r="155" customFormat="false" ht="124.6" hidden="false" customHeight="false" outlineLevel="0" collapsed="false">
      <c r="A155" s="5" t="s">
        <v>516</v>
      </c>
      <c r="B155" s="5" t="s">
        <v>22</v>
      </c>
      <c r="C155" s="5" t="s">
        <v>60</v>
      </c>
      <c r="D155" s="5" t="s">
        <v>61</v>
      </c>
      <c r="E155" s="5" t="s">
        <v>47</v>
      </c>
      <c r="F155" s="5"/>
      <c r="G155" s="5" t="n">
        <v>92</v>
      </c>
      <c r="H155" s="5" t="s">
        <v>517</v>
      </c>
      <c r="I155" s="5" t="s">
        <v>41</v>
      </c>
      <c r="J155" s="5" t="s">
        <v>295</v>
      </c>
      <c r="K155" s="5" t="n">
        <v>24</v>
      </c>
      <c r="L155" s="5" t="n">
        <v>7</v>
      </c>
      <c r="M155" s="2" t="s">
        <v>518</v>
      </c>
    </row>
    <row r="156" customFormat="false" ht="158.2" hidden="false" customHeight="false" outlineLevel="0" collapsed="false">
      <c r="A156" s="5" t="s">
        <v>519</v>
      </c>
      <c r="B156" s="5" t="s">
        <v>22</v>
      </c>
      <c r="C156" s="5" t="s">
        <v>60</v>
      </c>
      <c r="D156" s="5" t="s">
        <v>61</v>
      </c>
      <c r="E156" s="5"/>
      <c r="F156" s="5" t="s">
        <v>56</v>
      </c>
      <c r="G156" s="5" t="n">
        <v>137</v>
      </c>
      <c r="H156" s="5" t="s">
        <v>520</v>
      </c>
      <c r="I156" s="5" t="s">
        <v>50</v>
      </c>
      <c r="J156" s="5" t="s">
        <v>143</v>
      </c>
      <c r="K156" s="5" t="n">
        <v>20</v>
      </c>
      <c r="L156" s="5" t="n">
        <v>2</v>
      </c>
      <c r="M156" s="2" t="s">
        <v>521</v>
      </c>
    </row>
    <row r="157" customFormat="false" ht="158.2" hidden="false" customHeight="false" outlineLevel="0" collapsed="false">
      <c r="A157" s="5" t="s">
        <v>522</v>
      </c>
      <c r="B157" s="5" t="s">
        <v>22</v>
      </c>
      <c r="C157" s="5" t="s">
        <v>110</v>
      </c>
      <c r="D157" s="5" t="s">
        <v>111</v>
      </c>
      <c r="E157" s="5"/>
      <c r="F157" s="5" t="s">
        <v>56</v>
      </c>
      <c r="G157" s="5" t="n">
        <v>141</v>
      </c>
      <c r="H157" s="5" t="s">
        <v>523</v>
      </c>
      <c r="I157" s="5" t="s">
        <v>27</v>
      </c>
      <c r="J157" s="5" t="s">
        <v>113</v>
      </c>
      <c r="K157" s="5" t="n">
        <v>25</v>
      </c>
      <c r="L157" s="5" t="n">
        <v>4</v>
      </c>
      <c r="M157" s="2" t="s">
        <v>524</v>
      </c>
    </row>
    <row r="158" customFormat="false" ht="124.6" hidden="false" customHeight="false" outlineLevel="0" collapsed="false">
      <c r="A158" s="5" t="s">
        <v>525</v>
      </c>
      <c r="B158" s="5" t="s">
        <v>22</v>
      </c>
      <c r="C158" s="5" t="s">
        <v>70</v>
      </c>
      <c r="D158" s="5" t="s">
        <v>71</v>
      </c>
      <c r="E158" s="5" t="s">
        <v>47</v>
      </c>
      <c r="F158" s="5" t="s">
        <v>25</v>
      </c>
      <c r="G158" s="5" t="n">
        <v>84</v>
      </c>
      <c r="H158" s="5" t="s">
        <v>49</v>
      </c>
      <c r="I158" s="5" t="s">
        <v>27</v>
      </c>
      <c r="J158" s="5" t="s">
        <v>74</v>
      </c>
      <c r="K158" s="5" t="n">
        <v>21</v>
      </c>
      <c r="L158" s="5" t="n">
        <v>4</v>
      </c>
      <c r="M158" s="2" t="s">
        <v>526</v>
      </c>
    </row>
    <row r="159" customFormat="false" ht="158.2" hidden="false" customHeight="false" outlineLevel="0" collapsed="false">
      <c r="A159" s="5" t="s">
        <v>527</v>
      </c>
      <c r="B159" s="5" t="s">
        <v>22</v>
      </c>
      <c r="C159" s="5" t="s">
        <v>110</v>
      </c>
      <c r="D159" s="5" t="s">
        <v>111</v>
      </c>
      <c r="E159" s="5" t="s">
        <v>47</v>
      </c>
      <c r="F159" s="5" t="s">
        <v>32</v>
      </c>
      <c r="G159" s="5" t="n">
        <v>138</v>
      </c>
      <c r="H159" s="5" t="s">
        <v>528</v>
      </c>
      <c r="I159" s="5" t="s">
        <v>67</v>
      </c>
      <c r="J159" s="5" t="s">
        <v>113</v>
      </c>
      <c r="K159" s="5" t="n">
        <v>24</v>
      </c>
      <c r="L159" s="5" t="n">
        <v>5</v>
      </c>
      <c r="M159" s="2" t="s">
        <v>529</v>
      </c>
    </row>
    <row r="160" customFormat="false" ht="113.4" hidden="false" customHeight="false" outlineLevel="0" collapsed="false">
      <c r="A160" s="5" t="s">
        <v>530</v>
      </c>
      <c r="B160" s="5" t="s">
        <v>22</v>
      </c>
      <c r="C160" s="5" t="s">
        <v>128</v>
      </c>
      <c r="D160" s="5" t="s">
        <v>129</v>
      </c>
      <c r="E160" s="5" t="s">
        <v>32</v>
      </c>
      <c r="F160" s="5" t="s">
        <v>25</v>
      </c>
      <c r="G160" s="5" t="n">
        <v>117</v>
      </c>
      <c r="H160" s="5" t="s">
        <v>507</v>
      </c>
      <c r="I160" s="5" t="s">
        <v>305</v>
      </c>
      <c r="J160" s="5" t="s">
        <v>130</v>
      </c>
      <c r="K160" s="5" t="n">
        <v>21</v>
      </c>
      <c r="L160" s="5" t="n">
        <v>5</v>
      </c>
      <c r="M160" s="2" t="s">
        <v>531</v>
      </c>
    </row>
    <row r="161" customFormat="false" ht="113.4" hidden="false" customHeight="false" outlineLevel="0" collapsed="false">
      <c r="A161" s="5" t="s">
        <v>532</v>
      </c>
      <c r="B161" s="5" t="s">
        <v>22</v>
      </c>
      <c r="C161" s="5" t="s">
        <v>223</v>
      </c>
      <c r="D161" s="5" t="s">
        <v>224</v>
      </c>
      <c r="E161" s="5" t="s">
        <v>32</v>
      </c>
      <c r="F161" s="5" t="s">
        <v>148</v>
      </c>
      <c r="G161" s="5" t="n">
        <v>89</v>
      </c>
      <c r="H161" s="5" t="s">
        <v>533</v>
      </c>
      <c r="I161" s="5" t="s">
        <v>41</v>
      </c>
      <c r="J161" s="5" t="s">
        <v>226</v>
      </c>
      <c r="K161" s="5" t="n">
        <v>21</v>
      </c>
      <c r="L161" s="5" t="n">
        <v>7</v>
      </c>
      <c r="M161" s="2" t="s">
        <v>534</v>
      </c>
    </row>
    <row r="162" customFormat="false" ht="135.8" hidden="false" customHeight="false" outlineLevel="0" collapsed="false">
      <c r="A162" s="5" t="s">
        <v>535</v>
      </c>
      <c r="B162" s="5" t="s">
        <v>22</v>
      </c>
      <c r="C162" s="5" t="s">
        <v>45</v>
      </c>
      <c r="D162" s="5" t="s">
        <v>46</v>
      </c>
      <c r="E162" s="5"/>
      <c r="F162" s="5" t="s">
        <v>123</v>
      </c>
      <c r="G162" s="5" t="n">
        <v>107</v>
      </c>
      <c r="H162" s="5" t="s">
        <v>178</v>
      </c>
      <c r="I162" s="5" t="s">
        <v>50</v>
      </c>
      <c r="J162" s="5" t="s">
        <v>51</v>
      </c>
      <c r="K162" s="5" t="n">
        <v>21</v>
      </c>
      <c r="L162" s="5" t="n">
        <v>5</v>
      </c>
      <c r="M162" s="2" t="s">
        <v>536</v>
      </c>
    </row>
    <row r="163" customFormat="false" ht="180.55" hidden="false" customHeight="false" outlineLevel="0" collapsed="false">
      <c r="A163" s="5" t="s">
        <v>537</v>
      </c>
      <c r="B163" s="5" t="s">
        <v>22</v>
      </c>
      <c r="C163" s="5" t="s">
        <v>90</v>
      </c>
      <c r="D163" s="5" t="s">
        <v>91</v>
      </c>
      <c r="E163" s="5"/>
      <c r="F163" s="5" t="s">
        <v>25</v>
      </c>
      <c r="G163" s="5" t="n">
        <v>120</v>
      </c>
      <c r="H163" s="5" t="s">
        <v>225</v>
      </c>
      <c r="I163" s="5" t="s">
        <v>305</v>
      </c>
      <c r="J163" s="5" t="s">
        <v>95</v>
      </c>
      <c r="K163" s="5" t="n">
        <v>22</v>
      </c>
      <c r="L163" s="5" t="n">
        <v>6</v>
      </c>
      <c r="M163" s="2" t="s">
        <v>538</v>
      </c>
    </row>
    <row r="164" customFormat="false" ht="79.85" hidden="false" customHeight="false" outlineLevel="0" collapsed="false">
      <c r="A164" s="5" t="s">
        <v>539</v>
      </c>
      <c r="B164" s="5" t="s">
        <v>22</v>
      </c>
      <c r="C164" s="5" t="s">
        <v>30</v>
      </c>
      <c r="D164" s="5" t="s">
        <v>31</v>
      </c>
      <c r="E164" s="5"/>
      <c r="F164" s="5" t="s">
        <v>56</v>
      </c>
      <c r="G164" s="5" t="n">
        <v>59</v>
      </c>
      <c r="H164" s="5" t="s">
        <v>540</v>
      </c>
      <c r="I164" s="5" t="s">
        <v>41</v>
      </c>
      <c r="J164" s="5" t="s">
        <v>284</v>
      </c>
      <c r="K164" s="5" t="n">
        <v>20</v>
      </c>
      <c r="L164" s="5" t="n">
        <v>8</v>
      </c>
      <c r="M164" s="2" t="s">
        <v>541</v>
      </c>
    </row>
    <row r="165" customFormat="false" ht="135.8" hidden="false" customHeight="false" outlineLevel="0" collapsed="false">
      <c r="A165" s="5" t="s">
        <v>542</v>
      </c>
      <c r="B165" s="5" t="s">
        <v>54</v>
      </c>
      <c r="C165" s="5" t="s">
        <v>90</v>
      </c>
      <c r="D165" s="5" t="s">
        <v>91</v>
      </c>
      <c r="E165" s="5"/>
      <c r="F165" s="5" t="s">
        <v>92</v>
      </c>
      <c r="G165" s="5" t="n">
        <v>70</v>
      </c>
      <c r="H165" s="5" t="s">
        <v>442</v>
      </c>
      <c r="I165" s="5" t="s">
        <v>27</v>
      </c>
      <c r="J165" s="5" t="s">
        <v>95</v>
      </c>
      <c r="K165" s="5" t="n">
        <v>20</v>
      </c>
      <c r="L165" s="5" t="n">
        <v>12</v>
      </c>
      <c r="M165" s="2" t="s">
        <v>543</v>
      </c>
    </row>
    <row r="166" customFormat="false" ht="113.4" hidden="false" customHeight="false" outlineLevel="0" collapsed="false">
      <c r="A166" s="5" t="s">
        <v>544</v>
      </c>
      <c r="B166" s="5" t="s">
        <v>54</v>
      </c>
      <c r="C166" s="5" t="s">
        <v>128</v>
      </c>
      <c r="D166" s="5" t="s">
        <v>129</v>
      </c>
      <c r="E166" s="5" t="s">
        <v>55</v>
      </c>
      <c r="F166" s="5" t="s">
        <v>25</v>
      </c>
      <c r="G166" s="5" t="n">
        <v>96</v>
      </c>
      <c r="H166" s="5" t="s">
        <v>545</v>
      </c>
      <c r="I166" s="5" t="s">
        <v>34</v>
      </c>
      <c r="J166" s="5" t="s">
        <v>130</v>
      </c>
      <c r="K166" s="5" t="n">
        <v>21</v>
      </c>
      <c r="L166" s="5" t="n">
        <v>6</v>
      </c>
      <c r="M166" s="2" t="s">
        <v>546</v>
      </c>
    </row>
    <row r="167" customFormat="false" ht="102.2" hidden="false" customHeight="false" outlineLevel="0" collapsed="false">
      <c r="A167" s="5" t="s">
        <v>547</v>
      </c>
      <c r="B167" s="5" t="s">
        <v>22</v>
      </c>
      <c r="C167" s="5" t="s">
        <v>45</v>
      </c>
      <c r="D167" s="5" t="s">
        <v>46</v>
      </c>
      <c r="E167" s="5" t="s">
        <v>47</v>
      </c>
      <c r="F167" s="5"/>
      <c r="G167" s="5" t="n">
        <v>85</v>
      </c>
      <c r="H167" s="5" t="s">
        <v>347</v>
      </c>
      <c r="I167" s="5" t="s">
        <v>41</v>
      </c>
      <c r="J167" s="5" t="s">
        <v>51</v>
      </c>
      <c r="K167" s="5" t="n">
        <v>20</v>
      </c>
      <c r="L167" s="5" t="n">
        <v>6</v>
      </c>
      <c r="M167" s="2" t="s">
        <v>548</v>
      </c>
    </row>
    <row r="168" customFormat="false" ht="147" hidden="false" customHeight="false" outlineLevel="0" collapsed="false">
      <c r="A168" s="5" t="s">
        <v>549</v>
      </c>
      <c r="B168" s="5" t="s">
        <v>54</v>
      </c>
      <c r="C168" s="5" t="s">
        <v>60</v>
      </c>
      <c r="D168" s="5" t="s">
        <v>61</v>
      </c>
      <c r="E168" s="5"/>
      <c r="F168" s="5" t="s">
        <v>56</v>
      </c>
      <c r="G168" s="5" t="n">
        <v>108</v>
      </c>
      <c r="H168" s="5" t="s">
        <v>550</v>
      </c>
      <c r="I168" s="5" t="s">
        <v>94</v>
      </c>
      <c r="J168" s="5" t="s">
        <v>165</v>
      </c>
      <c r="K168" s="5" t="n">
        <v>23</v>
      </c>
      <c r="L168" s="5" t="n">
        <v>4</v>
      </c>
      <c r="M168" s="2" t="s">
        <v>551</v>
      </c>
    </row>
    <row r="169" customFormat="false" ht="102.2" hidden="false" customHeight="false" outlineLevel="0" collapsed="false">
      <c r="A169" s="5" t="s">
        <v>552</v>
      </c>
      <c r="B169" s="5" t="s">
        <v>22</v>
      </c>
      <c r="C169" s="5" t="s">
        <v>70</v>
      </c>
      <c r="D169" s="5" t="s">
        <v>71</v>
      </c>
      <c r="E169" s="5" t="s">
        <v>47</v>
      </c>
      <c r="F169" s="5" t="s">
        <v>162</v>
      </c>
      <c r="G169" s="5" t="n">
        <v>75</v>
      </c>
      <c r="H169" s="5" t="s">
        <v>250</v>
      </c>
      <c r="I169" s="5" t="s">
        <v>94</v>
      </c>
      <c r="J169" s="5" t="s">
        <v>74</v>
      </c>
      <c r="K169" s="5" t="n">
        <v>20</v>
      </c>
      <c r="L169" s="5" t="n">
        <v>6</v>
      </c>
      <c r="M169" s="2" t="s">
        <v>553</v>
      </c>
    </row>
    <row r="170" customFormat="false" ht="124.6" hidden="false" customHeight="false" outlineLevel="0" collapsed="false">
      <c r="A170" s="5" t="s">
        <v>554</v>
      </c>
      <c r="B170" s="5" t="s">
        <v>22</v>
      </c>
      <c r="C170" s="5" t="s">
        <v>60</v>
      </c>
      <c r="D170" s="5" t="s">
        <v>61</v>
      </c>
      <c r="E170" s="5" t="s">
        <v>32</v>
      </c>
      <c r="F170" s="5" t="s">
        <v>32</v>
      </c>
      <c r="G170" s="5" t="n">
        <v>98</v>
      </c>
      <c r="H170" s="5" t="s">
        <v>555</v>
      </c>
      <c r="I170" s="5" t="s">
        <v>67</v>
      </c>
      <c r="J170" s="5" t="s">
        <v>295</v>
      </c>
      <c r="K170" s="5" t="n">
        <v>22</v>
      </c>
      <c r="L170" s="5" t="n">
        <v>4</v>
      </c>
      <c r="M170" s="2" t="s">
        <v>556</v>
      </c>
    </row>
    <row r="171" customFormat="false" ht="15" hidden="false" customHeight="false" outlineLevel="0" collapsed="false">
      <c r="A171" s="5" t="s">
        <v>557</v>
      </c>
      <c r="B171" s="5" t="s">
        <v>22</v>
      </c>
      <c r="C171" s="5" t="s">
        <v>23</v>
      </c>
      <c r="D171" s="5" t="s">
        <v>24</v>
      </c>
      <c r="E171" s="5"/>
      <c r="F171" s="5"/>
      <c r="G171" s="5" t="n">
        <v>9</v>
      </c>
      <c r="H171" s="5" t="s">
        <v>558</v>
      </c>
      <c r="I171" s="5" t="s">
        <v>117</v>
      </c>
      <c r="J171" s="5"/>
      <c r="K171" s="5" t="n">
        <v>10</v>
      </c>
      <c r="L171" s="5" t="n">
        <v>9</v>
      </c>
      <c r="M171" s="2" t="s">
        <v>559</v>
      </c>
    </row>
    <row r="172" customFormat="false" ht="79.85" hidden="false" customHeight="false" outlineLevel="0" collapsed="false">
      <c r="A172" s="5" t="s">
        <v>560</v>
      </c>
      <c r="B172" s="5" t="s">
        <v>22</v>
      </c>
      <c r="C172" s="5" t="s">
        <v>184</v>
      </c>
      <c r="D172" s="5" t="s">
        <v>39</v>
      </c>
      <c r="E172" s="5"/>
      <c r="F172" s="5" t="s">
        <v>148</v>
      </c>
      <c r="G172" s="5" t="n">
        <v>57</v>
      </c>
      <c r="H172" s="5" t="s">
        <v>232</v>
      </c>
      <c r="I172" s="5" t="s">
        <v>117</v>
      </c>
      <c r="J172" s="5" t="s">
        <v>561</v>
      </c>
      <c r="K172" s="5" t="n">
        <v>19</v>
      </c>
      <c r="L172" s="5" t="n">
        <v>9</v>
      </c>
      <c r="M172" s="2" t="s">
        <v>562</v>
      </c>
    </row>
    <row r="173" customFormat="false" ht="124.6" hidden="false" customHeight="false" outlineLevel="0" collapsed="false">
      <c r="A173" s="5" t="s">
        <v>563</v>
      </c>
      <c r="B173" s="5" t="s">
        <v>22</v>
      </c>
      <c r="C173" s="5" t="s">
        <v>110</v>
      </c>
      <c r="D173" s="5" t="s">
        <v>111</v>
      </c>
      <c r="E173" s="5"/>
      <c r="F173" s="5" t="s">
        <v>48</v>
      </c>
      <c r="G173" s="5" t="n">
        <v>108</v>
      </c>
      <c r="H173" s="5" t="s">
        <v>86</v>
      </c>
      <c r="I173" s="5" t="s">
        <v>135</v>
      </c>
      <c r="J173" s="5" t="s">
        <v>113</v>
      </c>
      <c r="K173" s="5" t="n">
        <v>24</v>
      </c>
      <c r="L173" s="5" t="n">
        <v>8</v>
      </c>
      <c r="M173" s="2" t="s">
        <v>564</v>
      </c>
    </row>
    <row r="174" customFormat="false" ht="135.8" hidden="false" customHeight="false" outlineLevel="0" collapsed="false">
      <c r="A174" s="5" t="s">
        <v>565</v>
      </c>
      <c r="B174" s="5" t="s">
        <v>22</v>
      </c>
      <c r="C174" s="5" t="s">
        <v>90</v>
      </c>
      <c r="D174" s="5" t="s">
        <v>91</v>
      </c>
      <c r="E174" s="5"/>
      <c r="F174" s="5" t="s">
        <v>55</v>
      </c>
      <c r="G174" s="5" t="n">
        <v>97</v>
      </c>
      <c r="H174" s="5" t="s">
        <v>474</v>
      </c>
      <c r="I174" s="5" t="s">
        <v>27</v>
      </c>
      <c r="J174" s="5" t="s">
        <v>95</v>
      </c>
      <c r="K174" s="5" t="n">
        <v>20</v>
      </c>
      <c r="L174" s="5" t="n">
        <v>8</v>
      </c>
      <c r="M174" s="2" t="s">
        <v>566</v>
      </c>
    </row>
    <row r="175" customFormat="false" ht="91" hidden="false" customHeight="false" outlineLevel="0" collapsed="false">
      <c r="A175" s="5" t="s">
        <v>567</v>
      </c>
      <c r="B175" s="5" t="s">
        <v>22</v>
      </c>
      <c r="C175" s="5" t="s">
        <v>184</v>
      </c>
      <c r="D175" s="5" t="s">
        <v>39</v>
      </c>
      <c r="E175" s="5" t="s">
        <v>32</v>
      </c>
      <c r="F175" s="5" t="s">
        <v>32</v>
      </c>
      <c r="G175" s="5" t="n">
        <v>82</v>
      </c>
      <c r="H175" s="5" t="s">
        <v>214</v>
      </c>
      <c r="I175" s="5" t="s">
        <v>94</v>
      </c>
      <c r="J175" s="5" t="s">
        <v>568</v>
      </c>
      <c r="K175" s="5" t="n">
        <v>22</v>
      </c>
      <c r="L175" s="5" t="n">
        <v>5</v>
      </c>
      <c r="M175" s="2" t="s">
        <v>569</v>
      </c>
    </row>
    <row r="176" customFormat="false" ht="147" hidden="false" customHeight="false" outlineLevel="0" collapsed="false">
      <c r="A176" s="5" t="s">
        <v>570</v>
      </c>
      <c r="B176" s="5" t="s">
        <v>22</v>
      </c>
      <c r="C176" s="5" t="s">
        <v>128</v>
      </c>
      <c r="D176" s="5" t="s">
        <v>129</v>
      </c>
      <c r="E176" s="5"/>
      <c r="F176" s="5" t="s">
        <v>123</v>
      </c>
      <c r="G176" s="5" t="n">
        <v>124</v>
      </c>
      <c r="H176" s="5" t="s">
        <v>571</v>
      </c>
      <c r="I176" s="5" t="s">
        <v>27</v>
      </c>
      <c r="J176" s="5" t="s">
        <v>130</v>
      </c>
      <c r="K176" s="5" t="n">
        <v>21</v>
      </c>
      <c r="L176" s="5" t="n">
        <v>6</v>
      </c>
      <c r="M176" s="2" t="s">
        <v>572</v>
      </c>
    </row>
    <row r="177" customFormat="false" ht="102.2" hidden="false" customHeight="false" outlineLevel="0" collapsed="false">
      <c r="A177" s="5" t="s">
        <v>573</v>
      </c>
      <c r="B177" s="5" t="s">
        <v>22</v>
      </c>
      <c r="C177" s="5" t="s">
        <v>128</v>
      </c>
      <c r="D177" s="5" t="s">
        <v>129</v>
      </c>
      <c r="E177" s="5" t="s">
        <v>47</v>
      </c>
      <c r="F177" s="5" t="s">
        <v>148</v>
      </c>
      <c r="G177" s="5" t="n">
        <v>74</v>
      </c>
      <c r="H177" s="5" t="s">
        <v>574</v>
      </c>
      <c r="I177" s="5" t="s">
        <v>87</v>
      </c>
      <c r="J177" s="5" t="s">
        <v>130</v>
      </c>
      <c r="K177" s="5" t="n">
        <v>20</v>
      </c>
      <c r="L177" s="5" t="n">
        <v>7</v>
      </c>
      <c r="M177" s="2" t="s">
        <v>575</v>
      </c>
    </row>
    <row r="178" customFormat="false" ht="79.85" hidden="false" customHeight="false" outlineLevel="0" collapsed="false">
      <c r="A178" s="5" t="s">
        <v>576</v>
      </c>
      <c r="B178" s="5" t="s">
        <v>22</v>
      </c>
      <c r="C178" s="5" t="s">
        <v>223</v>
      </c>
      <c r="D178" s="5" t="s">
        <v>224</v>
      </c>
      <c r="E178" s="5" t="s">
        <v>32</v>
      </c>
      <c r="F178" s="5" t="s">
        <v>99</v>
      </c>
      <c r="G178" s="5" t="n">
        <v>54</v>
      </c>
      <c r="H178" s="5" t="s">
        <v>577</v>
      </c>
      <c r="I178" s="5" t="s">
        <v>117</v>
      </c>
      <c r="J178" s="5" t="s">
        <v>226</v>
      </c>
      <c r="K178" s="5" t="n">
        <v>20</v>
      </c>
      <c r="L178" s="5" t="n">
        <v>8</v>
      </c>
      <c r="M178" s="2" t="s">
        <v>578</v>
      </c>
    </row>
    <row r="179" customFormat="false" ht="15" hidden="false" customHeight="false" outlineLevel="0" collapsed="false">
      <c r="A179" s="5" t="s">
        <v>579</v>
      </c>
      <c r="B179" s="5" t="s">
        <v>22</v>
      </c>
      <c r="C179" s="5" t="s">
        <v>23</v>
      </c>
      <c r="D179" s="5" t="s">
        <v>24</v>
      </c>
      <c r="E179" s="5" t="s">
        <v>32</v>
      </c>
      <c r="F179" s="5" t="s">
        <v>123</v>
      </c>
      <c r="G179" s="5" t="n">
        <v>7</v>
      </c>
      <c r="H179" s="5" t="s">
        <v>580</v>
      </c>
      <c r="I179" s="5" t="s">
        <v>104</v>
      </c>
      <c r="J179" s="5"/>
      <c r="K179" s="5" t="n">
        <v>11</v>
      </c>
      <c r="L179" s="5" t="n">
        <v>8</v>
      </c>
      <c r="M179" s="2" t="s">
        <v>581</v>
      </c>
    </row>
    <row r="180" customFormat="false" ht="124.6" hidden="false" customHeight="false" outlineLevel="0" collapsed="false">
      <c r="A180" s="5" t="s">
        <v>582</v>
      </c>
      <c r="B180" s="5" t="s">
        <v>22</v>
      </c>
      <c r="C180" s="5" t="s">
        <v>45</v>
      </c>
      <c r="D180" s="5" t="s">
        <v>46</v>
      </c>
      <c r="E180" s="5" t="s">
        <v>47</v>
      </c>
      <c r="F180" s="5"/>
      <c r="G180" s="5" t="n">
        <v>100</v>
      </c>
      <c r="H180" s="5" t="s">
        <v>372</v>
      </c>
      <c r="I180" s="5" t="s">
        <v>41</v>
      </c>
      <c r="J180" s="5" t="s">
        <v>51</v>
      </c>
      <c r="K180" s="5" t="n">
        <v>21</v>
      </c>
      <c r="L180" s="5" t="n">
        <v>5</v>
      </c>
      <c r="M180" s="2" t="s">
        <v>583</v>
      </c>
    </row>
    <row r="181" customFormat="false" ht="113.4" hidden="false" customHeight="false" outlineLevel="0" collapsed="false">
      <c r="A181" s="5" t="s">
        <v>584</v>
      </c>
      <c r="B181" s="5" t="s">
        <v>98</v>
      </c>
      <c r="C181" s="5" t="s">
        <v>38</v>
      </c>
      <c r="D181" s="5" t="s">
        <v>39</v>
      </c>
      <c r="E181" s="5" t="s">
        <v>32</v>
      </c>
      <c r="F181" s="5"/>
      <c r="G181" s="5" t="n">
        <v>100</v>
      </c>
      <c r="H181" s="5" t="s">
        <v>351</v>
      </c>
      <c r="I181" s="5" t="s">
        <v>41</v>
      </c>
      <c r="J181" s="5" t="s">
        <v>42</v>
      </c>
      <c r="K181" s="5" t="n">
        <v>22</v>
      </c>
      <c r="L181" s="5" t="n">
        <v>6</v>
      </c>
      <c r="M181" s="2" t="s">
        <v>585</v>
      </c>
    </row>
    <row r="182" customFormat="false" ht="15" hidden="false" customHeight="false" outlineLevel="0" collapsed="false">
      <c r="A182" s="5" t="s">
        <v>586</v>
      </c>
      <c r="B182" s="5" t="s">
        <v>98</v>
      </c>
      <c r="C182" s="5" t="s">
        <v>23</v>
      </c>
      <c r="D182" s="5" t="s">
        <v>46</v>
      </c>
      <c r="E182" s="5"/>
      <c r="F182" s="5"/>
      <c r="G182" s="5" t="n">
        <v>12</v>
      </c>
      <c r="H182" s="5" t="s">
        <v>528</v>
      </c>
      <c r="I182" s="5" t="s">
        <v>34</v>
      </c>
      <c r="J182" s="5" t="s">
        <v>344</v>
      </c>
      <c r="K182" s="5" t="n">
        <v>10</v>
      </c>
      <c r="L182" s="5" t="n">
        <v>8</v>
      </c>
      <c r="M182" s="2" t="s">
        <v>587</v>
      </c>
    </row>
    <row r="183" customFormat="false" ht="79.85" hidden="false" customHeight="false" outlineLevel="0" collapsed="false">
      <c r="A183" s="5" t="s">
        <v>588</v>
      </c>
      <c r="B183" s="5" t="s">
        <v>98</v>
      </c>
      <c r="C183" s="5" t="s">
        <v>30</v>
      </c>
      <c r="D183" s="5" t="s">
        <v>31</v>
      </c>
      <c r="E183" s="5" t="s">
        <v>32</v>
      </c>
      <c r="F183" s="5" t="s">
        <v>123</v>
      </c>
      <c r="G183" s="5" t="n">
        <v>72</v>
      </c>
      <c r="H183" s="5" t="s">
        <v>356</v>
      </c>
      <c r="I183" s="5" t="s">
        <v>73</v>
      </c>
      <c r="J183" s="5" t="s">
        <v>35</v>
      </c>
      <c r="K183" s="5" t="n">
        <v>20</v>
      </c>
      <c r="L183" s="5" t="n">
        <v>6</v>
      </c>
      <c r="M183" s="2" t="s">
        <v>589</v>
      </c>
    </row>
    <row r="184" customFormat="false" ht="124.6" hidden="false" customHeight="false" outlineLevel="0" collapsed="false">
      <c r="A184" s="5" t="s">
        <v>590</v>
      </c>
      <c r="B184" s="5" t="s">
        <v>22</v>
      </c>
      <c r="C184" s="5" t="s">
        <v>70</v>
      </c>
      <c r="D184" s="5" t="s">
        <v>71</v>
      </c>
      <c r="E184" s="5" t="s">
        <v>32</v>
      </c>
      <c r="F184" s="5" t="s">
        <v>25</v>
      </c>
      <c r="G184" s="5" t="n">
        <v>95</v>
      </c>
      <c r="H184" s="5" t="s">
        <v>591</v>
      </c>
      <c r="I184" s="5" t="s">
        <v>27</v>
      </c>
      <c r="J184" s="5" t="s">
        <v>215</v>
      </c>
      <c r="K184" s="5" t="n">
        <v>23</v>
      </c>
      <c r="L184" s="5" t="n">
        <v>6</v>
      </c>
      <c r="M184" s="2" t="s">
        <v>592</v>
      </c>
    </row>
    <row r="185" customFormat="false" ht="135.8" hidden="false" customHeight="false" outlineLevel="0" collapsed="false">
      <c r="A185" s="5" t="s">
        <v>593</v>
      </c>
      <c r="B185" s="5" t="s">
        <v>98</v>
      </c>
      <c r="C185" s="5" t="s">
        <v>60</v>
      </c>
      <c r="D185" s="5" t="s">
        <v>61</v>
      </c>
      <c r="E185" s="5" t="s">
        <v>47</v>
      </c>
      <c r="F185" s="5" t="s">
        <v>99</v>
      </c>
      <c r="G185" s="5" t="n">
        <v>110</v>
      </c>
      <c r="H185" s="5" t="s">
        <v>594</v>
      </c>
      <c r="I185" s="5" t="s">
        <v>87</v>
      </c>
      <c r="J185" s="5" t="s">
        <v>595</v>
      </c>
      <c r="K185" s="5" t="n">
        <v>22</v>
      </c>
      <c r="L185" s="5" t="n">
        <v>3</v>
      </c>
      <c r="M185" s="2" t="s">
        <v>596</v>
      </c>
    </row>
    <row r="186" customFormat="false" ht="91" hidden="false" customHeight="false" outlineLevel="0" collapsed="false">
      <c r="A186" s="5" t="s">
        <v>597</v>
      </c>
      <c r="B186" s="5" t="s">
        <v>54</v>
      </c>
      <c r="C186" s="5" t="s">
        <v>184</v>
      </c>
      <c r="D186" s="5" t="s">
        <v>39</v>
      </c>
      <c r="E186" s="5"/>
      <c r="F186" s="5" t="s">
        <v>32</v>
      </c>
      <c r="G186" s="5" t="n">
        <v>72</v>
      </c>
      <c r="H186" s="5" t="s">
        <v>598</v>
      </c>
      <c r="I186" s="5" t="s">
        <v>104</v>
      </c>
      <c r="J186" s="5" t="s">
        <v>205</v>
      </c>
      <c r="K186" s="5" t="n">
        <v>20</v>
      </c>
      <c r="L186" s="5" t="n">
        <v>7</v>
      </c>
      <c r="M186" s="2" t="s">
        <v>599</v>
      </c>
    </row>
    <row r="187" customFormat="false" ht="135.8" hidden="false" customHeight="false" outlineLevel="0" collapsed="false">
      <c r="A187" s="5" t="s">
        <v>600</v>
      </c>
      <c r="B187" s="5" t="s">
        <v>22</v>
      </c>
      <c r="C187" s="5" t="s">
        <v>77</v>
      </c>
      <c r="D187" s="5" t="s">
        <v>78</v>
      </c>
      <c r="E187" s="5" t="s">
        <v>32</v>
      </c>
      <c r="F187" s="5" t="s">
        <v>32</v>
      </c>
      <c r="G187" s="5" t="n">
        <v>110</v>
      </c>
      <c r="H187" s="5" t="s">
        <v>235</v>
      </c>
      <c r="I187" s="5" t="s">
        <v>94</v>
      </c>
      <c r="J187" s="5" t="s">
        <v>80</v>
      </c>
      <c r="K187" s="5" t="n">
        <v>20</v>
      </c>
      <c r="L187" s="5" t="n">
        <v>4</v>
      </c>
      <c r="M187" s="2" t="s">
        <v>601</v>
      </c>
    </row>
    <row r="188" customFormat="false" ht="102.2" hidden="false" customHeight="false" outlineLevel="0" collapsed="false">
      <c r="A188" s="5" t="s">
        <v>602</v>
      </c>
      <c r="B188" s="5" t="s">
        <v>98</v>
      </c>
      <c r="C188" s="5" t="s">
        <v>60</v>
      </c>
      <c r="D188" s="5" t="s">
        <v>61</v>
      </c>
      <c r="E188" s="5"/>
      <c r="F188" s="5"/>
      <c r="G188" s="5" t="n">
        <v>84</v>
      </c>
      <c r="H188" s="5" t="s">
        <v>603</v>
      </c>
      <c r="I188" s="5" t="s">
        <v>67</v>
      </c>
      <c r="J188" s="5" t="s">
        <v>165</v>
      </c>
      <c r="K188" s="5" t="n">
        <v>18</v>
      </c>
      <c r="L188" s="5" t="n">
        <v>6</v>
      </c>
      <c r="M188" s="2" t="s">
        <v>604</v>
      </c>
    </row>
    <row r="189" customFormat="false" ht="135.8" hidden="false" customHeight="false" outlineLevel="0" collapsed="false">
      <c r="A189" s="5" t="s">
        <v>605</v>
      </c>
      <c r="B189" s="5" t="s">
        <v>98</v>
      </c>
      <c r="C189" s="5" t="s">
        <v>60</v>
      </c>
      <c r="D189" s="5" t="s">
        <v>61</v>
      </c>
      <c r="E189" s="5"/>
      <c r="F189" s="5" t="s">
        <v>92</v>
      </c>
      <c r="G189" s="5" t="n">
        <v>106</v>
      </c>
      <c r="H189" s="5" t="s">
        <v>442</v>
      </c>
      <c r="I189" s="5" t="s">
        <v>94</v>
      </c>
      <c r="J189" s="5" t="s">
        <v>143</v>
      </c>
      <c r="K189" s="5" t="n">
        <v>19</v>
      </c>
      <c r="L189" s="5" t="n">
        <v>7</v>
      </c>
      <c r="M189" s="2" t="s">
        <v>606</v>
      </c>
    </row>
    <row r="190" customFormat="false" ht="91" hidden="false" customHeight="false" outlineLevel="0" collapsed="false">
      <c r="A190" s="5" t="s">
        <v>607</v>
      </c>
      <c r="B190" s="5" t="s">
        <v>54</v>
      </c>
      <c r="C190" s="5" t="s">
        <v>223</v>
      </c>
      <c r="D190" s="5" t="s">
        <v>224</v>
      </c>
      <c r="E190" s="5" t="s">
        <v>55</v>
      </c>
      <c r="F190" s="5" t="s">
        <v>55</v>
      </c>
      <c r="G190" s="5" t="n">
        <v>74</v>
      </c>
      <c r="H190" s="5" t="s">
        <v>608</v>
      </c>
      <c r="I190" s="5" t="s">
        <v>73</v>
      </c>
      <c r="J190" s="5" t="s">
        <v>226</v>
      </c>
      <c r="K190" s="5" t="n">
        <v>20</v>
      </c>
      <c r="L190" s="5" t="n">
        <v>9</v>
      </c>
      <c r="M190" s="2" t="s">
        <v>609</v>
      </c>
    </row>
    <row r="191" customFormat="false" ht="147" hidden="false" customHeight="false" outlineLevel="0" collapsed="false">
      <c r="A191" s="5" t="s">
        <v>610</v>
      </c>
      <c r="B191" s="5" t="s">
        <v>22</v>
      </c>
      <c r="C191" s="5" t="s">
        <v>60</v>
      </c>
      <c r="D191" s="5" t="s">
        <v>61</v>
      </c>
      <c r="E191" s="5" t="s">
        <v>47</v>
      </c>
      <c r="F191" s="5" t="s">
        <v>162</v>
      </c>
      <c r="G191" s="5" t="n">
        <v>105</v>
      </c>
      <c r="H191" s="5" t="s">
        <v>558</v>
      </c>
      <c r="I191" s="5" t="s">
        <v>305</v>
      </c>
      <c r="J191" s="5" t="s">
        <v>295</v>
      </c>
      <c r="K191" s="5" t="n">
        <v>22</v>
      </c>
      <c r="L191" s="5" t="n">
        <v>6</v>
      </c>
      <c r="M191" s="2" t="s">
        <v>611</v>
      </c>
    </row>
    <row r="192" customFormat="false" ht="124.6" hidden="false" customHeight="false" outlineLevel="0" collapsed="false">
      <c r="A192" s="5" t="s">
        <v>612</v>
      </c>
      <c r="B192" s="5" t="s">
        <v>54</v>
      </c>
      <c r="C192" s="5" t="s">
        <v>38</v>
      </c>
      <c r="D192" s="5" t="s">
        <v>39</v>
      </c>
      <c r="E192" s="5" t="s">
        <v>32</v>
      </c>
      <c r="F192" s="5" t="s">
        <v>25</v>
      </c>
      <c r="G192" s="5" t="n">
        <v>105</v>
      </c>
      <c r="H192" s="5" t="s">
        <v>613</v>
      </c>
      <c r="I192" s="5" t="s">
        <v>135</v>
      </c>
      <c r="J192" s="5" t="s">
        <v>42</v>
      </c>
      <c r="K192" s="5" t="n">
        <v>22</v>
      </c>
      <c r="L192" s="5" t="n">
        <v>5</v>
      </c>
      <c r="M192" s="2" t="s">
        <v>614</v>
      </c>
    </row>
    <row r="193" customFormat="false" ht="15" hidden="false" customHeight="false" outlineLevel="0" collapsed="false">
      <c r="A193" s="5" t="s">
        <v>615</v>
      </c>
      <c r="B193" s="5" t="s">
        <v>22</v>
      </c>
      <c r="C193" s="5" t="s">
        <v>23</v>
      </c>
      <c r="D193" s="5" t="s">
        <v>24</v>
      </c>
      <c r="E193" s="5"/>
      <c r="F193" s="5"/>
      <c r="G193" s="5" t="n">
        <v>13</v>
      </c>
      <c r="H193" s="5" t="s">
        <v>616</v>
      </c>
      <c r="I193" s="5" t="s">
        <v>305</v>
      </c>
      <c r="J193" s="5"/>
      <c r="K193" s="5" t="n">
        <v>10</v>
      </c>
      <c r="L193" s="5" t="n">
        <v>9</v>
      </c>
      <c r="M193" s="2" t="s">
        <v>617</v>
      </c>
    </row>
    <row r="194" customFormat="false" ht="91" hidden="false" customHeight="false" outlineLevel="0" collapsed="false">
      <c r="A194" s="5" t="s">
        <v>618</v>
      </c>
      <c r="B194" s="5" t="s">
        <v>22</v>
      </c>
      <c r="C194" s="5" t="s">
        <v>30</v>
      </c>
      <c r="D194" s="5" t="s">
        <v>31</v>
      </c>
      <c r="E194" s="5" t="s">
        <v>55</v>
      </c>
      <c r="F194" s="5" t="s">
        <v>92</v>
      </c>
      <c r="G194" s="5" t="n">
        <v>99</v>
      </c>
      <c r="H194" s="5" t="s">
        <v>178</v>
      </c>
      <c r="I194" s="5" t="s">
        <v>117</v>
      </c>
      <c r="J194" s="5" t="s">
        <v>35</v>
      </c>
      <c r="K194" s="5" t="n">
        <v>21</v>
      </c>
      <c r="L194" s="5" t="n">
        <v>5</v>
      </c>
      <c r="M194" s="2" t="s">
        <v>619</v>
      </c>
    </row>
    <row r="195" customFormat="false" ht="91" hidden="false" customHeight="false" outlineLevel="0" collapsed="false">
      <c r="A195" s="5" t="s">
        <v>620</v>
      </c>
      <c r="B195" s="5" t="s">
        <v>54</v>
      </c>
      <c r="C195" s="5" t="s">
        <v>184</v>
      </c>
      <c r="D195" s="5" t="s">
        <v>39</v>
      </c>
      <c r="E195" s="5" t="s">
        <v>55</v>
      </c>
      <c r="F195" s="5"/>
      <c r="G195" s="5" t="n">
        <v>89</v>
      </c>
      <c r="H195" s="5" t="s">
        <v>621</v>
      </c>
      <c r="I195" s="5" t="s">
        <v>117</v>
      </c>
      <c r="J195" s="5" t="s">
        <v>348</v>
      </c>
      <c r="K195" s="5" t="n">
        <v>21</v>
      </c>
      <c r="L195" s="5" t="n">
        <v>7</v>
      </c>
      <c r="M195" s="2" t="s">
        <v>622</v>
      </c>
    </row>
    <row r="196" customFormat="false" ht="91" hidden="false" customHeight="false" outlineLevel="0" collapsed="false">
      <c r="A196" s="5" t="s">
        <v>623</v>
      </c>
      <c r="B196" s="5" t="s">
        <v>22</v>
      </c>
      <c r="C196" s="5" t="s">
        <v>223</v>
      </c>
      <c r="D196" s="5" t="s">
        <v>224</v>
      </c>
      <c r="E196" s="5" t="s">
        <v>32</v>
      </c>
      <c r="F196" s="5" t="s">
        <v>133</v>
      </c>
      <c r="G196" s="5" t="n">
        <v>75</v>
      </c>
      <c r="H196" s="5" t="s">
        <v>545</v>
      </c>
      <c r="I196" s="5" t="s">
        <v>104</v>
      </c>
      <c r="J196" s="5" t="s">
        <v>226</v>
      </c>
      <c r="K196" s="5" t="n">
        <v>20</v>
      </c>
      <c r="L196" s="5" t="n">
        <v>8</v>
      </c>
      <c r="M196" s="2" t="s">
        <v>624</v>
      </c>
    </row>
    <row r="197" customFormat="false" ht="102.2" hidden="false" customHeight="false" outlineLevel="0" collapsed="false">
      <c r="A197" s="5" t="s">
        <v>625</v>
      </c>
      <c r="B197" s="5" t="s">
        <v>22</v>
      </c>
      <c r="C197" s="5" t="s">
        <v>38</v>
      </c>
      <c r="D197" s="5" t="s">
        <v>39</v>
      </c>
      <c r="E197" s="5" t="s">
        <v>55</v>
      </c>
      <c r="F197" s="5"/>
      <c r="G197" s="5" t="n">
        <v>73</v>
      </c>
      <c r="H197" s="5" t="s">
        <v>626</v>
      </c>
      <c r="I197" s="5" t="s">
        <v>117</v>
      </c>
      <c r="J197" s="5" t="s">
        <v>42</v>
      </c>
      <c r="K197" s="5" t="n">
        <v>22</v>
      </c>
      <c r="L197" s="5" t="n">
        <v>8</v>
      </c>
      <c r="M197" s="2" t="s">
        <v>627</v>
      </c>
    </row>
    <row r="198" customFormat="false" ht="124.6" hidden="false" customHeight="false" outlineLevel="0" collapsed="false">
      <c r="A198" s="5" t="s">
        <v>628</v>
      </c>
      <c r="B198" s="5" t="s">
        <v>22</v>
      </c>
      <c r="C198" s="5" t="s">
        <v>45</v>
      </c>
      <c r="D198" s="5" t="s">
        <v>46</v>
      </c>
      <c r="E198" s="5" t="s">
        <v>32</v>
      </c>
      <c r="F198" s="5" t="s">
        <v>148</v>
      </c>
      <c r="G198" s="5" t="n">
        <v>90</v>
      </c>
      <c r="H198" s="5" t="s">
        <v>442</v>
      </c>
      <c r="I198" s="5" t="s">
        <v>305</v>
      </c>
      <c r="J198" s="5" t="s">
        <v>51</v>
      </c>
      <c r="K198" s="5" t="n">
        <v>21</v>
      </c>
      <c r="L198" s="5" t="n">
        <v>5</v>
      </c>
      <c r="M198" s="2" t="s">
        <v>629</v>
      </c>
    </row>
    <row r="199" customFormat="false" ht="135.8" hidden="false" customHeight="false" outlineLevel="0" collapsed="false">
      <c r="A199" s="5" t="s">
        <v>630</v>
      </c>
      <c r="B199" s="5" t="s">
        <v>22</v>
      </c>
      <c r="C199" s="5" t="s">
        <v>60</v>
      </c>
      <c r="D199" s="5" t="s">
        <v>61</v>
      </c>
      <c r="E199" s="5" t="s">
        <v>47</v>
      </c>
      <c r="F199" s="5" t="s">
        <v>148</v>
      </c>
      <c r="G199" s="5" t="n">
        <v>101</v>
      </c>
      <c r="H199" s="5" t="s">
        <v>631</v>
      </c>
      <c r="I199" s="5" t="s">
        <v>87</v>
      </c>
      <c r="J199" s="5" t="s">
        <v>295</v>
      </c>
      <c r="K199" s="5" t="n">
        <v>22</v>
      </c>
      <c r="L199" s="5" t="n">
        <v>6</v>
      </c>
      <c r="M199" s="2" t="s">
        <v>632</v>
      </c>
    </row>
    <row r="200" customFormat="false" ht="135.8" hidden="false" customHeight="false" outlineLevel="0" collapsed="false">
      <c r="A200" s="5" t="s">
        <v>633</v>
      </c>
      <c r="B200" s="5" t="s">
        <v>22</v>
      </c>
      <c r="C200" s="5" t="s">
        <v>90</v>
      </c>
      <c r="D200" s="5" t="s">
        <v>91</v>
      </c>
      <c r="E200" s="5" t="s">
        <v>47</v>
      </c>
      <c r="F200" s="5" t="s">
        <v>32</v>
      </c>
      <c r="G200" s="5" t="n">
        <v>85</v>
      </c>
      <c r="H200" s="5" t="s">
        <v>331</v>
      </c>
      <c r="I200" s="5" t="s">
        <v>87</v>
      </c>
      <c r="J200" s="5" t="s">
        <v>95</v>
      </c>
      <c r="K200" s="5" t="n">
        <v>22</v>
      </c>
      <c r="L200" s="5" t="n">
        <v>9</v>
      </c>
      <c r="M200" s="2" t="s">
        <v>634</v>
      </c>
    </row>
    <row r="201" customFormat="false" ht="158.2" hidden="false" customHeight="false" outlineLevel="0" collapsed="false">
      <c r="A201" s="5" t="s">
        <v>635</v>
      </c>
      <c r="B201" s="5" t="s">
        <v>54</v>
      </c>
      <c r="C201" s="5" t="s">
        <v>110</v>
      </c>
      <c r="D201" s="5" t="s">
        <v>111</v>
      </c>
      <c r="E201" s="5" t="s">
        <v>32</v>
      </c>
      <c r="F201" s="5" t="s">
        <v>133</v>
      </c>
      <c r="G201" s="5" t="n">
        <v>132</v>
      </c>
      <c r="H201" s="5" t="s">
        <v>636</v>
      </c>
      <c r="I201" s="5" t="s">
        <v>104</v>
      </c>
      <c r="J201" s="5" t="s">
        <v>113</v>
      </c>
      <c r="K201" s="5" t="n">
        <v>25</v>
      </c>
      <c r="L201" s="5" t="n">
        <v>7</v>
      </c>
      <c r="M201" s="2" t="s">
        <v>637</v>
      </c>
    </row>
  </sheetData>
  <autoFilter ref="A1:M2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8"/>
    <col collapsed="false" customWidth="true" hidden="false" outlineLevel="0" max="5" min="2" style="0" width="8"/>
  </cols>
  <sheetData>
    <row r="1" customFormat="false" ht="15" hidden="false" customHeight="false" outlineLevel="0" collapsed="false">
      <c r="A1" s="4" t="s">
        <v>10</v>
      </c>
      <c r="B1" s="4" t="s">
        <v>22</v>
      </c>
      <c r="C1" s="4" t="s">
        <v>54</v>
      </c>
      <c r="D1" s="4" t="s">
        <v>98</v>
      </c>
      <c r="E1" s="4" t="s">
        <v>638</v>
      </c>
    </row>
    <row r="2" customFormat="false" ht="15" hidden="false" customHeight="false" outlineLevel="0" collapsed="false">
      <c r="A2" s="6" t="s">
        <v>90</v>
      </c>
      <c r="B2" s="6" t="n">
        <f aca="false">COUNTIFS('Generated scripts'!$C$2:$C$201,$A2,'Generated scripts'!$B$2:$B$201,"train")</f>
        <v>7</v>
      </c>
      <c r="C2" s="6" t="n">
        <f aca="false">COUNTIFS('Generated scripts'!$C$2:$C$201,$A2,'Generated scripts'!$B$2:$B$201,"val")</f>
        <v>2</v>
      </c>
      <c r="D2" s="6" t="n">
        <f aca="false">COUNTIFS('Generated scripts'!$C$2:$C$201,$A2,'Generated scripts'!$B$2:$B$201,"test")</f>
        <v>2</v>
      </c>
      <c r="E2" s="6" t="n">
        <f aca="false">SUM(B2:D2)</f>
        <v>11</v>
      </c>
    </row>
    <row r="3" customFormat="false" ht="15" hidden="false" customHeight="false" outlineLevel="0" collapsed="false">
      <c r="A3" s="6" t="s">
        <v>38</v>
      </c>
      <c r="B3" s="6" t="n">
        <f aca="false">COUNTIFS('Generated scripts'!$C$2:$C$201,$A3,'Generated scripts'!$B$2:$B$201,"train")</f>
        <v>11</v>
      </c>
      <c r="C3" s="6" t="n">
        <f aca="false">COUNTIFS('Generated scripts'!$C$2:$C$201,$A3,'Generated scripts'!$B$2:$B$201,"val")</f>
        <v>2</v>
      </c>
      <c r="D3" s="6" t="n">
        <f aca="false">COUNTIFS('Generated scripts'!$C$2:$C$201,$A3,'Generated scripts'!$B$2:$B$201,"test")</f>
        <v>2</v>
      </c>
      <c r="E3" s="6" t="n">
        <f aca="false">SUM(B3:D3)</f>
        <v>15</v>
      </c>
    </row>
    <row r="4" customFormat="false" ht="15" hidden="false" customHeight="false" outlineLevel="0" collapsed="false">
      <c r="A4" s="6" t="s">
        <v>30</v>
      </c>
      <c r="B4" s="6" t="n">
        <f aca="false">COUNTIFS('Generated scripts'!$C$2:$C$201,$A4,'Generated scripts'!$B$2:$B$201,"train")</f>
        <v>10</v>
      </c>
      <c r="C4" s="6" t="n">
        <f aca="false">COUNTIFS('Generated scripts'!$C$2:$C$201,$A4,'Generated scripts'!$B$2:$B$201,"val")</f>
        <v>2</v>
      </c>
      <c r="D4" s="6" t="n">
        <f aca="false">COUNTIFS('Generated scripts'!$C$2:$C$201,$A4,'Generated scripts'!$B$2:$B$201,"test")</f>
        <v>2</v>
      </c>
      <c r="E4" s="6" t="n">
        <f aca="false">SUM(B4:D4)</f>
        <v>14</v>
      </c>
    </row>
    <row r="5" customFormat="false" ht="15" hidden="false" customHeight="false" outlineLevel="0" collapsed="false">
      <c r="A5" s="6" t="s">
        <v>23</v>
      </c>
      <c r="B5" s="6" t="n">
        <f aca="false">COUNTIFS('Generated scripts'!$C$2:$C$201,$A5,'Generated scripts'!$B$2:$B$201,"train")</f>
        <v>17</v>
      </c>
      <c r="C5" s="6" t="n">
        <f aca="false">COUNTIFS('Generated scripts'!$C$2:$C$201,$A5,'Generated scripts'!$B$2:$B$201,"val")</f>
        <v>4</v>
      </c>
      <c r="D5" s="6" t="n">
        <f aca="false">COUNTIFS('Generated scripts'!$C$2:$C$201,$A5,'Generated scripts'!$B$2:$B$201,"test")</f>
        <v>4</v>
      </c>
      <c r="E5" s="6" t="n">
        <f aca="false">SUM(B5:D5)</f>
        <v>25</v>
      </c>
    </row>
    <row r="6" customFormat="false" ht="15" hidden="false" customHeight="false" outlineLevel="0" collapsed="false">
      <c r="A6" s="6" t="s">
        <v>184</v>
      </c>
      <c r="B6" s="6" t="n">
        <f aca="false">COUNTIFS('Generated scripts'!$C$2:$C$201,$A6,'Generated scripts'!$B$2:$B$201,"train")</f>
        <v>13</v>
      </c>
      <c r="C6" s="6" t="n">
        <f aca="false">COUNTIFS('Generated scripts'!$C$2:$C$201,$A6,'Generated scripts'!$B$2:$B$201,"val")</f>
        <v>3</v>
      </c>
      <c r="D6" s="6" t="n">
        <f aca="false">COUNTIFS('Generated scripts'!$C$2:$C$201,$A6,'Generated scripts'!$B$2:$B$201,"test")</f>
        <v>3</v>
      </c>
      <c r="E6" s="6" t="n">
        <f aca="false">SUM(B6:D6)</f>
        <v>19</v>
      </c>
    </row>
    <row r="7" customFormat="false" ht="15" hidden="false" customHeight="false" outlineLevel="0" collapsed="false">
      <c r="A7" s="6" t="s">
        <v>128</v>
      </c>
      <c r="B7" s="6" t="n">
        <f aca="false">COUNTIFS('Generated scripts'!$C$2:$C$201,$A7,'Generated scripts'!$B$2:$B$201,"train")</f>
        <v>6</v>
      </c>
      <c r="C7" s="6" t="n">
        <f aca="false">COUNTIFS('Generated scripts'!$C$2:$C$201,$A7,'Generated scripts'!$B$2:$B$201,"val")</f>
        <v>1</v>
      </c>
      <c r="D7" s="6" t="n">
        <f aca="false">COUNTIFS('Generated scripts'!$C$2:$C$201,$A7,'Generated scripts'!$B$2:$B$201,"test")</f>
        <v>1</v>
      </c>
      <c r="E7" s="6" t="n">
        <f aca="false">SUM(B7:D7)</f>
        <v>8</v>
      </c>
    </row>
    <row r="8" customFormat="false" ht="15" hidden="false" customHeight="false" outlineLevel="0" collapsed="false">
      <c r="A8" s="6" t="s">
        <v>70</v>
      </c>
      <c r="B8" s="6" t="n">
        <f aca="false">COUNTIFS('Generated scripts'!$C$2:$C$201,$A8,'Generated scripts'!$B$2:$B$201,"train")</f>
        <v>10</v>
      </c>
      <c r="C8" s="6" t="n">
        <f aca="false">COUNTIFS('Generated scripts'!$C$2:$C$201,$A8,'Generated scripts'!$B$2:$B$201,"val")</f>
        <v>2</v>
      </c>
      <c r="D8" s="6" t="n">
        <f aca="false">COUNTIFS('Generated scripts'!$C$2:$C$201,$A8,'Generated scripts'!$B$2:$B$201,"test")</f>
        <v>2</v>
      </c>
      <c r="E8" s="6" t="n">
        <f aca="false">SUM(B8:D8)</f>
        <v>14</v>
      </c>
    </row>
    <row r="9" customFormat="false" ht="15" hidden="false" customHeight="false" outlineLevel="0" collapsed="false">
      <c r="A9" s="6" t="s">
        <v>223</v>
      </c>
      <c r="B9" s="6" t="n">
        <f aca="false">COUNTIFS('Generated scripts'!$C$2:$C$201,$A9,'Generated scripts'!$B$2:$B$201,"train")</f>
        <v>7</v>
      </c>
      <c r="C9" s="6" t="n">
        <f aca="false">COUNTIFS('Generated scripts'!$C$2:$C$201,$A9,'Generated scripts'!$B$2:$B$201,"val")</f>
        <v>1</v>
      </c>
      <c r="D9" s="6" t="n">
        <f aca="false">COUNTIFS('Generated scripts'!$C$2:$C$201,$A9,'Generated scripts'!$B$2:$B$201,"test")</f>
        <v>1</v>
      </c>
      <c r="E9" s="6" t="n">
        <f aca="false">SUM(B9:D9)</f>
        <v>9</v>
      </c>
    </row>
    <row r="10" customFormat="false" ht="15" hidden="false" customHeight="false" outlineLevel="0" collapsed="false">
      <c r="A10" s="6" t="s">
        <v>77</v>
      </c>
      <c r="B10" s="6" t="n">
        <f aca="false">COUNTIFS('Generated scripts'!$C$2:$C$201,$A10,'Generated scripts'!$B$2:$B$201,"train")</f>
        <v>12</v>
      </c>
      <c r="C10" s="6" t="n">
        <f aca="false">COUNTIFS('Generated scripts'!$C$2:$C$201,$A10,'Generated scripts'!$B$2:$B$201,"val")</f>
        <v>3</v>
      </c>
      <c r="D10" s="6" t="n">
        <f aca="false">COUNTIFS('Generated scripts'!$C$2:$C$201,$A10,'Generated scripts'!$B$2:$B$201,"test")</f>
        <v>3</v>
      </c>
      <c r="E10" s="6" t="n">
        <f aca="false">SUM(B10:D10)</f>
        <v>18</v>
      </c>
    </row>
    <row r="11" customFormat="false" ht="15" hidden="false" customHeight="false" outlineLevel="0" collapsed="false">
      <c r="A11" s="6" t="s">
        <v>110</v>
      </c>
      <c r="B11" s="6" t="n">
        <f aca="false">COUNTIFS('Generated scripts'!$C$2:$C$201,$A11,'Generated scripts'!$B$2:$B$201,"train")</f>
        <v>11</v>
      </c>
      <c r="C11" s="6" t="n">
        <f aca="false">COUNTIFS('Generated scripts'!$C$2:$C$201,$A11,'Generated scripts'!$B$2:$B$201,"val")</f>
        <v>2</v>
      </c>
      <c r="D11" s="6" t="n">
        <f aca="false">COUNTIFS('Generated scripts'!$C$2:$C$201,$A11,'Generated scripts'!$B$2:$B$201,"test")</f>
        <v>2</v>
      </c>
      <c r="E11" s="6" t="n">
        <f aca="false">SUM(B11:D11)</f>
        <v>15</v>
      </c>
    </row>
    <row r="12" customFormat="false" ht="15" hidden="false" customHeight="false" outlineLevel="0" collapsed="false">
      <c r="A12" s="6" t="s">
        <v>45</v>
      </c>
      <c r="B12" s="6" t="n">
        <f aca="false">COUNTIFS('Generated scripts'!$C$2:$C$201,$A12,'Generated scripts'!$B$2:$B$201,"train")</f>
        <v>17</v>
      </c>
      <c r="C12" s="6" t="n">
        <f aca="false">COUNTIFS('Generated scripts'!$C$2:$C$201,$A12,'Generated scripts'!$B$2:$B$201,"val")</f>
        <v>4</v>
      </c>
      <c r="D12" s="6" t="n">
        <f aca="false">COUNTIFS('Generated scripts'!$C$2:$C$201,$A12,'Generated scripts'!$B$2:$B$201,"test")</f>
        <v>4</v>
      </c>
      <c r="E12" s="6" t="n">
        <f aca="false">SUM(B12:D12)</f>
        <v>25</v>
      </c>
    </row>
    <row r="13" customFormat="false" ht="15" hidden="false" customHeight="false" outlineLevel="0" collapsed="false">
      <c r="A13" s="6" t="s">
        <v>60</v>
      </c>
      <c r="B13" s="6" t="n">
        <f aca="false">COUNTIFS('Generated scripts'!$C$2:$C$201,$A13,'Generated scripts'!$B$2:$B$201,"train")</f>
        <v>19</v>
      </c>
      <c r="C13" s="6" t="n">
        <f aca="false">COUNTIFS('Generated scripts'!$C$2:$C$201,$A13,'Generated scripts'!$B$2:$B$201,"val")</f>
        <v>4</v>
      </c>
      <c r="D13" s="6" t="n">
        <f aca="false">COUNTIFS('Generated scripts'!$C$2:$C$201,$A13,'Generated scripts'!$B$2:$B$201,"test")</f>
        <v>4</v>
      </c>
      <c r="E13" s="6" t="n">
        <f aca="false">SUM(B13:D13)</f>
        <v>27</v>
      </c>
    </row>
    <row r="14" customFormat="false" ht="15" hidden="false" customHeight="false" outlineLevel="0" collapsed="false">
      <c r="A14" s="7" t="s">
        <v>638</v>
      </c>
      <c r="B14" s="7" t="n">
        <f aca="false">SUM(B2:B13)</f>
        <v>140</v>
      </c>
      <c r="C14" s="7" t="n">
        <f aca="false">SUM(C2:C13)</f>
        <v>30</v>
      </c>
      <c r="D14" s="7" t="n">
        <f aca="false">SUM(D2:D13)</f>
        <v>30</v>
      </c>
      <c r="E14" s="7" t="n">
        <f aca="false">SUM(E2:E13)</f>
        <v>200</v>
      </c>
    </row>
    <row r="16" customFormat="false" ht="15" hidden="false" customHeight="false" outlineLevel="0" collapsed="false">
      <c r="A16" s="6" t="s">
        <v>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9765625" defaultRowHeight="15" zeroHeight="false" outlineLevelRow="0" outlineLevelCol="0"/>
  <cols>
    <col collapsed="false" customWidth="true" hidden="false" outlineLevel="0" max="1" min="1" style="0" width="9"/>
    <col collapsed="false" customWidth="true" hidden="false" outlineLevel="0" max="3" min="2" style="0" width="7"/>
    <col collapsed="false" customWidth="true" hidden="false" outlineLevel="0" max="4" min="4" style="0" width="8"/>
    <col collapsed="false" customWidth="true" hidden="false" outlineLevel="0" max="5" min="5" style="0" width="7"/>
    <col collapsed="false" customWidth="true" hidden="false" outlineLevel="0" max="6" min="6" style="0" width="20"/>
    <col collapsed="false" customWidth="true" hidden="false" outlineLevel="0" max="7" min="7" style="0" width="22"/>
    <col collapsed="false" customWidth="true" hidden="false" outlineLevel="0" max="8" min="8" style="0" width="16"/>
    <col collapsed="false" customWidth="true" hidden="false" outlineLevel="0" max="9" min="9" style="0" width="10"/>
    <col collapsed="false" customWidth="true" hidden="false" outlineLevel="0" max="10" min="10" style="0" width="14"/>
    <col collapsed="false" customWidth="true" hidden="false" outlineLevel="0" max="11" min="11" style="0" width="40"/>
  </cols>
  <sheetData>
    <row r="1" customFormat="false" ht="23.85" hidden="false" customHeight="false" outlineLevel="0" collapsed="false">
      <c r="A1" s="4" t="s">
        <v>640</v>
      </c>
      <c r="B1" s="4" t="s">
        <v>641</v>
      </c>
      <c r="C1" s="4" t="s">
        <v>642</v>
      </c>
      <c r="D1" s="4" t="s">
        <v>643</v>
      </c>
      <c r="E1" s="4" t="s">
        <v>14</v>
      </c>
      <c r="F1" s="4" t="s">
        <v>644</v>
      </c>
      <c r="G1" s="4" t="s">
        <v>645</v>
      </c>
      <c r="H1" s="4" t="s">
        <v>646</v>
      </c>
      <c r="I1" s="4" t="s">
        <v>647</v>
      </c>
      <c r="J1" s="4" t="s">
        <v>648</v>
      </c>
      <c r="K1" s="4" t="s">
        <v>649</v>
      </c>
    </row>
    <row r="2" customFormat="false" ht="15" hidden="false" customHeight="false" outlineLevel="0" collapsed="false">
      <c r="A2" s="5" t="s">
        <v>650</v>
      </c>
      <c r="B2" s="5" t="s">
        <v>651</v>
      </c>
      <c r="C2" s="5" t="n">
        <v>3</v>
      </c>
      <c r="D2" s="5" t="n">
        <v>92</v>
      </c>
      <c r="E2" s="5" t="n">
        <v>132</v>
      </c>
      <c r="F2" s="5" t="s">
        <v>652</v>
      </c>
      <c r="G2" s="2" t="s">
        <v>45</v>
      </c>
      <c r="H2" s="5" t="s">
        <v>653</v>
      </c>
      <c r="I2" s="5" t="s">
        <v>654</v>
      </c>
      <c r="J2" s="5" t="s">
        <v>655</v>
      </c>
      <c r="K2" s="2" t="s">
        <v>656</v>
      </c>
    </row>
    <row r="3" customFormat="false" ht="15" hidden="false" customHeight="false" outlineLevel="0" collapsed="false">
      <c r="A3" s="5" t="s">
        <v>657</v>
      </c>
      <c r="B3" s="5" t="s">
        <v>651</v>
      </c>
      <c r="C3" s="5" t="n">
        <v>2</v>
      </c>
      <c r="D3" s="5" t="n">
        <v>107</v>
      </c>
      <c r="E3" s="5" t="n">
        <v>207</v>
      </c>
      <c r="F3" s="5" t="s">
        <v>658</v>
      </c>
      <c r="G3" s="2" t="s">
        <v>659</v>
      </c>
      <c r="H3" s="5" t="s">
        <v>660</v>
      </c>
      <c r="I3" s="5" t="s">
        <v>660</v>
      </c>
      <c r="J3" s="5" t="s">
        <v>660</v>
      </c>
      <c r="K3" s="2" t="s">
        <v>661</v>
      </c>
    </row>
    <row r="4" customFormat="false" ht="15" hidden="false" customHeight="false" outlineLevel="0" collapsed="false">
      <c r="A4" s="5" t="s">
        <v>662</v>
      </c>
      <c r="B4" s="5" t="s">
        <v>651</v>
      </c>
      <c r="C4" s="5" t="n">
        <v>3</v>
      </c>
      <c r="D4" s="5" t="n">
        <v>33</v>
      </c>
      <c r="E4" s="5" t="n">
        <v>66</v>
      </c>
      <c r="F4" s="5" t="s">
        <v>663</v>
      </c>
      <c r="G4" s="2"/>
      <c r="H4" s="5" t="s">
        <v>660</v>
      </c>
      <c r="I4" s="5" t="s">
        <v>660</v>
      </c>
      <c r="J4" s="5" t="s">
        <v>664</v>
      </c>
      <c r="K4" s="2" t="s">
        <v>665</v>
      </c>
    </row>
    <row r="5" customFormat="false" ht="15" hidden="false" customHeight="false" outlineLevel="0" collapsed="false">
      <c r="A5" s="5" t="s">
        <v>666</v>
      </c>
      <c r="B5" s="5" t="s">
        <v>667</v>
      </c>
      <c r="C5" s="5" t="n">
        <v>2</v>
      </c>
      <c r="D5" s="5" t="n">
        <v>111</v>
      </c>
      <c r="E5" s="5" t="n">
        <v>266</v>
      </c>
      <c r="F5" s="5" t="s">
        <v>668</v>
      </c>
      <c r="G5" s="2" t="s">
        <v>60</v>
      </c>
      <c r="H5" s="5" t="s">
        <v>660</v>
      </c>
      <c r="I5" s="5" t="s">
        <v>660</v>
      </c>
      <c r="J5" s="5" t="s">
        <v>655</v>
      </c>
      <c r="K5" s="2" t="s">
        <v>669</v>
      </c>
    </row>
    <row r="6" customFormat="false" ht="15" hidden="false" customHeight="false" outlineLevel="0" collapsed="false">
      <c r="A6" s="5" t="s">
        <v>670</v>
      </c>
      <c r="B6" s="5" t="s">
        <v>651</v>
      </c>
      <c r="C6" s="5" t="n">
        <v>4</v>
      </c>
      <c r="D6" s="5" t="n">
        <v>82</v>
      </c>
      <c r="E6" s="5" t="n">
        <v>158</v>
      </c>
      <c r="F6" s="5" t="s">
        <v>671</v>
      </c>
      <c r="G6" s="2" t="s">
        <v>60</v>
      </c>
      <c r="H6" s="5" t="s">
        <v>660</v>
      </c>
      <c r="I6" s="5" t="s">
        <v>660</v>
      </c>
      <c r="J6" s="5" t="s">
        <v>664</v>
      </c>
      <c r="K6" s="2" t="s">
        <v>672</v>
      </c>
    </row>
    <row r="7" customFormat="false" ht="23.85" hidden="false" customHeight="false" outlineLevel="0" collapsed="false">
      <c r="A7" s="5" t="s">
        <v>673</v>
      </c>
      <c r="B7" s="5" t="s">
        <v>651</v>
      </c>
      <c r="C7" s="5" t="n">
        <v>6</v>
      </c>
      <c r="D7" s="5" t="n">
        <v>79</v>
      </c>
      <c r="E7" s="5" t="n">
        <v>134</v>
      </c>
      <c r="F7" s="5" t="s">
        <v>674</v>
      </c>
      <c r="G7" s="2" t="s">
        <v>45</v>
      </c>
      <c r="H7" s="5" t="s">
        <v>660</v>
      </c>
      <c r="I7" s="5" t="s">
        <v>660</v>
      </c>
      <c r="J7" s="5" t="s">
        <v>660</v>
      </c>
      <c r="K7" s="2" t="s">
        <v>675</v>
      </c>
    </row>
    <row r="8" customFormat="false" ht="15" hidden="false" customHeight="false" outlineLevel="0" collapsed="false">
      <c r="A8" s="5" t="s">
        <v>676</v>
      </c>
      <c r="B8" s="5" t="s">
        <v>651</v>
      </c>
      <c r="C8" s="5" t="n">
        <v>1</v>
      </c>
      <c r="D8" s="5" t="n">
        <v>31</v>
      </c>
      <c r="E8" s="5" t="n">
        <v>58</v>
      </c>
      <c r="F8" s="5" t="s">
        <v>677</v>
      </c>
      <c r="G8" s="2" t="s">
        <v>678</v>
      </c>
      <c r="H8" s="5" t="s">
        <v>660</v>
      </c>
      <c r="I8" s="5" t="s">
        <v>660</v>
      </c>
      <c r="J8" s="5" t="s">
        <v>655</v>
      </c>
      <c r="K8" s="2" t="s">
        <v>679</v>
      </c>
    </row>
    <row r="9" customFormat="false" ht="15" hidden="false" customHeight="false" outlineLevel="0" collapsed="false">
      <c r="A9" s="5" t="s">
        <v>680</v>
      </c>
      <c r="B9" s="5" t="s">
        <v>651</v>
      </c>
      <c r="C9" s="5" t="n">
        <v>1</v>
      </c>
      <c r="D9" s="5" t="n">
        <v>84</v>
      </c>
      <c r="E9" s="5" t="n">
        <v>188</v>
      </c>
      <c r="F9" s="5" t="s">
        <v>681</v>
      </c>
      <c r="G9" s="2" t="s">
        <v>42</v>
      </c>
      <c r="H9" s="5" t="s">
        <v>682</v>
      </c>
      <c r="I9" s="5" t="s">
        <v>654</v>
      </c>
      <c r="J9" s="5" t="s">
        <v>660</v>
      </c>
      <c r="K9" s="2" t="s">
        <v>683</v>
      </c>
    </row>
    <row r="10" customFormat="false" ht="15" hidden="false" customHeight="false" outlineLevel="0" collapsed="false">
      <c r="A10" s="5" t="s">
        <v>684</v>
      </c>
      <c r="B10" s="5" t="s">
        <v>651</v>
      </c>
      <c r="C10" s="5" t="n">
        <v>1</v>
      </c>
      <c r="D10" s="5" t="n">
        <v>75</v>
      </c>
      <c r="E10" s="5" t="n">
        <v>201</v>
      </c>
      <c r="F10" s="5" t="s">
        <v>685</v>
      </c>
      <c r="G10" s="2" t="s">
        <v>686</v>
      </c>
      <c r="H10" s="5" t="s">
        <v>660</v>
      </c>
      <c r="I10" s="5" t="s">
        <v>660</v>
      </c>
      <c r="J10" s="5" t="s">
        <v>687</v>
      </c>
      <c r="K10" s="2" t="s">
        <v>688</v>
      </c>
    </row>
    <row r="11" customFormat="false" ht="15" hidden="false" customHeight="false" outlineLevel="0" collapsed="false">
      <c r="A11" s="5" t="s">
        <v>689</v>
      </c>
      <c r="B11" s="5" t="s">
        <v>651</v>
      </c>
      <c r="C11" s="5" t="n">
        <v>2</v>
      </c>
      <c r="D11" s="5" t="n">
        <v>77</v>
      </c>
      <c r="E11" s="5" t="n">
        <v>181</v>
      </c>
      <c r="F11" s="5" t="s">
        <v>690</v>
      </c>
      <c r="G11" s="2" t="s">
        <v>691</v>
      </c>
      <c r="H11" s="5" t="s">
        <v>660</v>
      </c>
      <c r="I11" s="5" t="s">
        <v>660</v>
      </c>
      <c r="J11" s="5" t="s">
        <v>687</v>
      </c>
      <c r="K11" s="2" t="s">
        <v>692</v>
      </c>
    </row>
    <row r="12" customFormat="false" ht="15" hidden="false" customHeight="false" outlineLevel="0" collapsed="false">
      <c r="A12" s="5" t="s">
        <v>693</v>
      </c>
      <c r="B12" s="5" t="s">
        <v>651</v>
      </c>
      <c r="C12" s="5" t="n">
        <v>1</v>
      </c>
      <c r="D12" s="5" t="n">
        <v>116</v>
      </c>
      <c r="E12" s="5" t="n">
        <v>299</v>
      </c>
      <c r="F12" s="5" t="s">
        <v>694</v>
      </c>
      <c r="G12" s="2" t="s">
        <v>60</v>
      </c>
      <c r="H12" s="5" t="s">
        <v>660</v>
      </c>
      <c r="I12" s="5" t="s">
        <v>660</v>
      </c>
      <c r="J12" s="5" t="s">
        <v>655</v>
      </c>
      <c r="K12" s="2" t="s">
        <v>695</v>
      </c>
    </row>
    <row r="13" customFormat="false" ht="15" hidden="false" customHeight="false" outlineLevel="0" collapsed="false">
      <c r="A13" s="5" t="s">
        <v>696</v>
      </c>
      <c r="B13" s="5" t="s">
        <v>651</v>
      </c>
      <c r="C13" s="5" t="n">
        <v>1</v>
      </c>
      <c r="D13" s="5" t="n">
        <v>55</v>
      </c>
      <c r="E13" s="5" t="n">
        <v>118</v>
      </c>
      <c r="F13" s="5" t="s">
        <v>697</v>
      </c>
      <c r="G13" s="2" t="s">
        <v>698</v>
      </c>
      <c r="H13" s="5" t="s">
        <v>660</v>
      </c>
      <c r="I13" s="5" t="s">
        <v>660</v>
      </c>
      <c r="J13" s="5" t="s">
        <v>687</v>
      </c>
      <c r="K13" s="2" t="s">
        <v>699</v>
      </c>
    </row>
    <row r="14" customFormat="false" ht="15" hidden="false" customHeight="false" outlineLevel="0" collapsed="false">
      <c r="A14" s="5" t="s">
        <v>700</v>
      </c>
      <c r="B14" s="5" t="s">
        <v>651</v>
      </c>
      <c r="C14" s="5" t="n">
        <v>2</v>
      </c>
      <c r="D14" s="5" t="n">
        <v>110</v>
      </c>
      <c r="E14" s="5" t="n">
        <v>163</v>
      </c>
      <c r="F14" s="5" t="s">
        <v>701</v>
      </c>
      <c r="G14" s="2" t="s">
        <v>480</v>
      </c>
      <c r="H14" s="5" t="s">
        <v>660</v>
      </c>
      <c r="I14" s="5" t="s">
        <v>660</v>
      </c>
      <c r="J14" s="5" t="s">
        <v>660</v>
      </c>
      <c r="K14" s="2" t="s">
        <v>702</v>
      </c>
    </row>
    <row r="15" customFormat="false" ht="15" hidden="false" customHeight="false" outlineLevel="0" collapsed="false">
      <c r="A15" s="5" t="s">
        <v>703</v>
      </c>
      <c r="B15" s="5" t="s">
        <v>651</v>
      </c>
      <c r="C15" s="5" t="n">
        <v>5</v>
      </c>
      <c r="D15" s="5" t="n">
        <v>104</v>
      </c>
      <c r="E15" s="5" t="n">
        <v>234</v>
      </c>
      <c r="F15" s="5" t="s">
        <v>704</v>
      </c>
      <c r="G15" s="2" t="s">
        <v>705</v>
      </c>
      <c r="H15" s="5" t="s">
        <v>706</v>
      </c>
      <c r="I15" s="5" t="s">
        <v>654</v>
      </c>
      <c r="J15" s="5" t="s">
        <v>660</v>
      </c>
      <c r="K15" s="2" t="s">
        <v>707</v>
      </c>
    </row>
    <row r="16" customFormat="false" ht="15" hidden="false" customHeight="false" outlineLevel="0" collapsed="false">
      <c r="A16" s="5" t="s">
        <v>708</v>
      </c>
      <c r="B16" s="5" t="s">
        <v>651</v>
      </c>
      <c r="C16" s="5" t="n">
        <v>2</v>
      </c>
      <c r="D16" s="5" t="n">
        <v>115</v>
      </c>
      <c r="E16" s="5" t="n">
        <v>227</v>
      </c>
      <c r="F16" s="5" t="s">
        <v>709</v>
      </c>
      <c r="G16" s="2" t="s">
        <v>60</v>
      </c>
      <c r="H16" s="5" t="s">
        <v>660</v>
      </c>
      <c r="I16" s="5" t="s">
        <v>660</v>
      </c>
      <c r="J16" s="5" t="s">
        <v>660</v>
      </c>
      <c r="K16" s="2" t="s">
        <v>710</v>
      </c>
    </row>
    <row r="17" customFormat="false" ht="15" hidden="false" customHeight="false" outlineLevel="0" collapsed="false">
      <c r="A17" s="5" t="s">
        <v>711</v>
      </c>
      <c r="B17" s="5" t="s">
        <v>651</v>
      </c>
      <c r="C17" s="5" t="n">
        <v>1</v>
      </c>
      <c r="D17" s="5" t="n">
        <v>56</v>
      </c>
      <c r="E17" s="5" t="n">
        <v>110</v>
      </c>
      <c r="F17" s="5" t="s">
        <v>712</v>
      </c>
      <c r="G17" s="2" t="s">
        <v>713</v>
      </c>
      <c r="H17" s="5" t="s">
        <v>660</v>
      </c>
      <c r="I17" s="5" t="s">
        <v>660</v>
      </c>
      <c r="J17" s="5" t="s">
        <v>660</v>
      </c>
      <c r="K17" s="2" t="s">
        <v>714</v>
      </c>
    </row>
    <row r="18" customFormat="false" ht="15" hidden="false" customHeight="false" outlineLevel="0" collapsed="false">
      <c r="A18" s="5" t="s">
        <v>715</v>
      </c>
      <c r="B18" s="5" t="s">
        <v>651</v>
      </c>
      <c r="C18" s="5" t="n">
        <v>1</v>
      </c>
      <c r="D18" s="5" t="n">
        <v>3</v>
      </c>
      <c r="E18" s="5" t="n">
        <v>3</v>
      </c>
      <c r="F18" s="5" t="s">
        <v>716</v>
      </c>
      <c r="G18" s="2"/>
      <c r="H18" s="5" t="s">
        <v>660</v>
      </c>
      <c r="I18" s="5" t="s">
        <v>660</v>
      </c>
      <c r="J18" s="5" t="s">
        <v>687</v>
      </c>
      <c r="K18" s="2" t="s">
        <v>717</v>
      </c>
    </row>
    <row r="19" customFormat="false" ht="15" hidden="false" customHeight="false" outlineLevel="0" collapsed="false">
      <c r="A19" s="5" t="s">
        <v>718</v>
      </c>
      <c r="B19" s="5" t="s">
        <v>651</v>
      </c>
      <c r="C19" s="5" t="n">
        <v>1</v>
      </c>
      <c r="D19" s="5" t="n">
        <v>74</v>
      </c>
      <c r="E19" s="5" t="n">
        <v>142</v>
      </c>
      <c r="F19" s="5" t="s">
        <v>719</v>
      </c>
      <c r="G19" s="2" t="s">
        <v>691</v>
      </c>
      <c r="H19" s="5" t="s">
        <v>660</v>
      </c>
      <c r="I19" s="5" t="s">
        <v>660</v>
      </c>
      <c r="J19" s="5" t="s">
        <v>660</v>
      </c>
      <c r="K19" s="2" t="s">
        <v>720</v>
      </c>
    </row>
    <row r="20" customFormat="false" ht="15" hidden="false" customHeight="false" outlineLevel="0" collapsed="false">
      <c r="A20" s="5" t="s">
        <v>721</v>
      </c>
      <c r="B20" s="5" t="s">
        <v>651</v>
      </c>
      <c r="C20" s="5" t="n">
        <v>1</v>
      </c>
      <c r="D20" s="5" t="n">
        <v>59</v>
      </c>
      <c r="E20" s="5" t="n">
        <v>130</v>
      </c>
      <c r="F20" s="5" t="s">
        <v>722</v>
      </c>
      <c r="G20" s="2" t="s">
        <v>723</v>
      </c>
      <c r="H20" s="5" t="s">
        <v>660</v>
      </c>
      <c r="I20" s="5" t="s">
        <v>660</v>
      </c>
      <c r="J20" s="5" t="s">
        <v>660</v>
      </c>
      <c r="K20" s="2" t="s">
        <v>724</v>
      </c>
    </row>
    <row r="21" customFormat="false" ht="23.85" hidden="false" customHeight="false" outlineLevel="0" collapsed="false">
      <c r="A21" s="5" t="s">
        <v>725</v>
      </c>
      <c r="B21" s="5" t="s">
        <v>651</v>
      </c>
      <c r="C21" s="5" t="n">
        <v>7</v>
      </c>
      <c r="D21" s="5" t="n">
        <v>161</v>
      </c>
      <c r="E21" s="5" t="n">
        <v>396</v>
      </c>
      <c r="F21" s="5" t="s">
        <v>726</v>
      </c>
      <c r="G21" s="2" t="s">
        <v>727</v>
      </c>
      <c r="H21" s="5" t="s">
        <v>660</v>
      </c>
      <c r="I21" s="5" t="s">
        <v>660</v>
      </c>
      <c r="J21" s="5" t="s">
        <v>660</v>
      </c>
      <c r="K21" s="2" t="s">
        <v>728</v>
      </c>
    </row>
    <row r="22" customFormat="false" ht="15" hidden="false" customHeight="false" outlineLevel="0" collapsed="false">
      <c r="A22" s="5" t="s">
        <v>729</v>
      </c>
      <c r="B22" s="5" t="s">
        <v>667</v>
      </c>
      <c r="C22" s="5" t="n">
        <v>1</v>
      </c>
      <c r="D22" s="5" t="n">
        <v>116</v>
      </c>
      <c r="E22" s="5" t="n">
        <v>228</v>
      </c>
      <c r="F22" s="5" t="s">
        <v>730</v>
      </c>
      <c r="G22" s="2" t="s">
        <v>45</v>
      </c>
      <c r="H22" s="5" t="s">
        <v>660</v>
      </c>
      <c r="I22" s="5" t="s">
        <v>660</v>
      </c>
      <c r="J22" s="5" t="s">
        <v>664</v>
      </c>
      <c r="K22" s="2" t="s">
        <v>731</v>
      </c>
    </row>
    <row r="23" customFormat="false" ht="15" hidden="false" customHeight="false" outlineLevel="0" collapsed="false">
      <c r="A23" s="5" t="s">
        <v>732</v>
      </c>
      <c r="B23" s="5" t="s">
        <v>667</v>
      </c>
      <c r="C23" s="5" t="n">
        <v>3</v>
      </c>
      <c r="D23" s="5" t="n">
        <v>132</v>
      </c>
      <c r="E23" s="5" t="n">
        <v>304</v>
      </c>
      <c r="F23" s="5" t="s">
        <v>733</v>
      </c>
      <c r="G23" s="2" t="s">
        <v>734</v>
      </c>
      <c r="H23" s="5" t="s">
        <v>660</v>
      </c>
      <c r="I23" s="5" t="s">
        <v>660</v>
      </c>
      <c r="J23" s="5" t="s">
        <v>660</v>
      </c>
      <c r="K23" s="2" t="s">
        <v>735</v>
      </c>
    </row>
    <row r="24" customFormat="false" ht="15" hidden="false" customHeight="false" outlineLevel="0" collapsed="false">
      <c r="A24" s="7" t="s">
        <v>638</v>
      </c>
      <c r="C24" s="7" t="n">
        <f aca="false">SUM(C2:C23)</f>
        <v>51</v>
      </c>
      <c r="D24" s="7" t="n">
        <f aca="false">SUM(D2:D23)</f>
        <v>1872</v>
      </c>
      <c r="E24" s="7" t="n">
        <f aca="false">SUM(E2:E23)</f>
        <v>3945</v>
      </c>
    </row>
    <row r="26" customFormat="false" ht="15" hidden="false" customHeight="false" outlineLevel="0" collapsed="false">
      <c r="A26" s="6" t="s">
        <v>736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4" min="3" style="0" width="8"/>
    <col collapsed="false" customWidth="true" hidden="false" outlineLevel="0" max="5" min="5" style="0" width="10"/>
    <col collapsed="false" customWidth="true" hidden="false" outlineLevel="0" max="6" min="6" style="0" width="7"/>
    <col collapsed="false" customWidth="true" hidden="false" outlineLevel="0" max="7" min="7" style="0" width="120"/>
  </cols>
  <sheetData>
    <row r="1" customFormat="false" ht="23.85" hidden="false" customHeight="false" outlineLevel="0" collapsed="false">
      <c r="A1" s="4" t="s">
        <v>737</v>
      </c>
      <c r="B1" s="4" t="s">
        <v>738</v>
      </c>
      <c r="C1" s="4" t="s">
        <v>18</v>
      </c>
      <c r="D1" s="4" t="s">
        <v>739</v>
      </c>
      <c r="E1" s="4" t="s">
        <v>19</v>
      </c>
      <c r="F1" s="4" t="s">
        <v>14</v>
      </c>
      <c r="G1" s="4" t="s">
        <v>20</v>
      </c>
    </row>
    <row r="2" customFormat="false" ht="68.65" hidden="false" customHeight="false" outlineLevel="0" collapsed="false">
      <c r="A2" s="5" t="s">
        <v>740</v>
      </c>
      <c r="B2" s="5" t="s">
        <v>741</v>
      </c>
      <c r="C2" s="5" t="n">
        <v>19</v>
      </c>
      <c r="D2" s="5" t="n">
        <v>42</v>
      </c>
      <c r="E2" s="5" t="n">
        <v>7</v>
      </c>
      <c r="F2" s="5" t="n">
        <v>46</v>
      </c>
      <c r="G2" s="2" t="s">
        <v>742</v>
      </c>
    </row>
    <row r="3" customFormat="false" ht="135.8" hidden="false" customHeight="false" outlineLevel="0" collapsed="false">
      <c r="A3" s="5" t="s">
        <v>110</v>
      </c>
      <c r="B3" s="5" t="s">
        <v>111</v>
      </c>
      <c r="C3" s="5" t="n">
        <v>22</v>
      </c>
      <c r="D3" s="5" t="n">
        <v>50</v>
      </c>
      <c r="E3" s="5" t="n">
        <v>2</v>
      </c>
      <c r="F3" s="5" t="n">
        <v>160</v>
      </c>
      <c r="G3" s="2" t="s">
        <v>743</v>
      </c>
    </row>
    <row r="4" customFormat="false" ht="147" hidden="false" customHeight="false" outlineLevel="0" collapsed="false">
      <c r="A4" s="5" t="s">
        <v>60</v>
      </c>
      <c r="B4" s="5" t="s">
        <v>744</v>
      </c>
      <c r="C4" s="5" t="n">
        <v>21</v>
      </c>
      <c r="D4" s="5" t="n">
        <v>50</v>
      </c>
      <c r="E4" s="5" t="n">
        <v>4</v>
      </c>
      <c r="F4" s="5" t="n">
        <v>147</v>
      </c>
      <c r="G4" s="2" t="s">
        <v>745</v>
      </c>
    </row>
    <row r="5" customFormat="false" ht="169.4" hidden="false" customHeight="false" outlineLevel="0" collapsed="false">
      <c r="A5" s="5" t="s">
        <v>77</v>
      </c>
      <c r="B5" s="5" t="s">
        <v>746</v>
      </c>
      <c r="C5" s="5" t="n">
        <v>19</v>
      </c>
      <c r="D5" s="5" t="n">
        <v>43</v>
      </c>
      <c r="E5" s="5" t="n">
        <v>0</v>
      </c>
      <c r="F5" s="5" t="n">
        <v>154</v>
      </c>
      <c r="G5" s="2" t="s">
        <v>747</v>
      </c>
    </row>
    <row r="7" customFormat="false" ht="15" hidden="false" customHeight="false" outlineLevel="0" collapsed="false">
      <c r="A7" s="6" t="s">
        <v>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LibreOffice/24.2.7.2$Linux_AARCH64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2026-10-30T15:58:48Z</dcterms:created>
  <dc:creator>openpyxl</dc:creator>
  <dc:description/>
  <dc:language>en-US</dc:language>
  <cp:lastModifiedBy/>
  <dcterms:modified xsi:type="dcterms:W3CDTF">2026-10-30T15:58:49Z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